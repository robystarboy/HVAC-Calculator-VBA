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robinson\Documents\DropboxPortableAHK\Dropbox\ENGINEERING\CES\_PROJECTS.side\"/>
    </mc:Choice>
  </mc:AlternateContent>
  <bookViews>
    <workbookView xWindow="240" yWindow="105" windowWidth="14805" windowHeight="8010" tabRatio="778" firstSheet="1" activeTab="1"/>
  </bookViews>
  <sheets>
    <sheet name="Project Information" sheetId="15" r:id="rId1"/>
    <sheet name="A.Ductilator" sheetId="2" r:id="rId2"/>
    <sheet name="B.Storm Drainilator" sheetId="14" r:id="rId3"/>
    <sheet name="DATA - RAINFALL" sheetId="13" state="hidden" r:id="rId4"/>
    <sheet name="C.Cooling" sheetId="4" r:id="rId5"/>
    <sheet name="BETA - Gas Pipilator" sheetId="7" r:id="rId6"/>
    <sheet name="DATA - CFHC" sheetId="11" r:id="rId7"/>
    <sheet name="BETA - Static Pressure" sheetId="1" r:id="rId8"/>
    <sheet name="DATA - Static Pressure" sheetId="3" state="hidden" r:id="rId9"/>
    <sheet name="BETA - PUMP - HW Recirc" sheetId="6" r:id="rId10"/>
    <sheet name="BETA - SP" sheetId="8" r:id="rId11"/>
    <sheet name="DATA - GPM" sheetId="12" state="hidden" r:id="rId12"/>
    <sheet name="DATA - EQLC" sheetId="10" state="hidden" r:id="rId13"/>
  </sheets>
  <functionGroups builtInGroupCount="18"/>
  <definedNames>
    <definedName name="BASIS">A.Ductilator!$A$8</definedName>
    <definedName name="CFHC_DATA">'DATA - CFHC'!$C$5:$S$18</definedName>
    <definedName name="CFHC_LENGTH">'DATA - CFHC'!$C$4:$S$4</definedName>
    <definedName name="CFHC_PIPE_SIZE">'DATA - CFHC'!$A$5:$A$18</definedName>
    <definedName name="DESIGN_FOR">A.Ductilator!$E$8</definedName>
    <definedName name="DUCT_ELEMENT">"OFFSET('DATA - Static Pressure'!$A$2,0,0,COUNTA('DATA - Static Pressure'!$A:$A),1)"</definedName>
    <definedName name="DUCT_TYPE">A.Ductilator!$D$8</definedName>
    <definedName name="EQLC_CHART">'DATA - EQLC'!$A$2:$J$21</definedName>
    <definedName name="EQLC_COLUMNS">'DATA - EQLC'!$A$2:$J$2</definedName>
    <definedName name="EQLC_FITTING">'DATA - EQLC'!$C$2:$J$2</definedName>
    <definedName name="EQLC_PIPE_SIZE">'DATA - EQLC'!$A$3:$A$21</definedName>
    <definedName name="_xlnm.Extract" localSheetId="7">'BETA - Static Pressure'!$D$13</definedName>
    <definedName name="FITTING_NO">OFFSET('DATA - Static Pressure'!$B$2,0,0,COUNTA('DATA - Static Pressure'!$B:$B),1)</definedName>
    <definedName name="FRICTION">A.Ductilator!$B$8</definedName>
    <definedName name="_xlnm.Print_Area" localSheetId="1">A.Ductilator!$A$1:$J$22</definedName>
    <definedName name="RAINFALL_G1_DATA">'DATA - RAINFALL'!$B$47:$G$53</definedName>
    <definedName name="RAINFALL_G1_IPH">'DATA - RAINFALL'!$B$46:$G$46</definedName>
    <definedName name="RAINFALL_G1_PIPE_SIZE">'DATA - RAINFALL'!$A$47:$A$53</definedName>
    <definedName name="RAINFALL_G2_DATA">'DATA - RAINFALL'!$B$57:$G$63</definedName>
    <definedName name="RAINFALL_G2_IPH">'DATA - RAINFALL'!$B$56:$G$56</definedName>
    <definedName name="RAINFALL_G2_PIPE_SIZE">'DATA - RAINFALL'!$A$57:$A$63</definedName>
    <definedName name="RAINFALL_G3_DATA">'DATA - RAINFALL'!$B$67:$G$73</definedName>
    <definedName name="RAINFALL_G3_IPH">'DATA - RAINFALL'!$B$66:$G$66</definedName>
    <definedName name="RAINFALL_G3_PIPE_SIZE">'DATA - RAINFALL'!$A$67:$A$73</definedName>
    <definedName name="RAINFALL_G4_DATA">'DATA - RAINFALL'!$B$77:$G$83</definedName>
    <definedName name="RAINFALL_G4_IPH">'DATA - RAINFALL'!$B$76:$G$76</definedName>
    <definedName name="RAINFALL_G4_PIPE_SIZE">'DATA - RAINFALL'!$A$77:$A$83</definedName>
    <definedName name="RAINFALL_H1_DATA">'DATA - RAINFALL'!$B$14:$G$21</definedName>
    <definedName name="RAINFALL_H1_IPH">'DATA - RAINFALL'!$B$13:$G$13</definedName>
    <definedName name="RAINFALL_H1_PIPE_SIZE">'DATA - RAINFALL'!$A$14:$A$21</definedName>
    <definedName name="RAINFALL_H2_DATA">'DATA - RAINFALL'!$B$25:$G$32</definedName>
    <definedName name="RAINFALL_H2_IPH">'DATA - RAINFALL'!$B$24:$G$24</definedName>
    <definedName name="RAINFALL_H2_PIPE_SIZE">'DATA - RAINFALL'!$A$25:$A$32</definedName>
    <definedName name="RAINFALL_H4_DATA">'DATA - RAINFALL'!$B$36:$G$43</definedName>
    <definedName name="RAINFALL_H4_IPH">'DATA - RAINFALL'!$B$35:$G$35</definedName>
    <definedName name="RAINFALL_H4_PIPE_SIZE">'DATA - RAINFALL'!$A$36:$A$43</definedName>
    <definedName name="RAINFALL_V_DATA">'DATA - RAINFALL'!$B$5:$K$10</definedName>
    <definedName name="RAINFALL_V_IPH">'DATA - RAINFALL'!$B$4:$K$4</definedName>
    <definedName name="RAINFALL_V_PIPE_SIZE">'DATA - RAINFALL'!$A$5:$A$10</definedName>
    <definedName name="RESTORE">A.Ductilator!$F$8</definedName>
    <definedName name="SIZING">A.Ductilator!$G$8</definedName>
    <definedName name="solver_adj" localSheetId="1" hidden="1">A.Ductilator!#REF!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A.Ductilator!$F$10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UNIQUE_FITTING_NO">OFFSET('DATA - Static Pressure'!$L$2,0,0,COUNTA('DATA - Static Pressure'!$L:$L),1)</definedName>
    <definedName name="VELOCITY">A.Ductilator!$C$8</definedName>
  </definedNames>
  <calcPr calcId="152511"/>
</workbook>
</file>

<file path=xl/calcChain.xml><?xml version="1.0" encoding="utf-8"?>
<calcChain xmlns="http://schemas.openxmlformats.org/spreadsheetml/2006/main">
  <c r="F12" i="7" l="1"/>
  <c r="L55" i="7"/>
  <c r="K38" i="7"/>
  <c r="K39" i="7" s="1"/>
  <c r="K40" i="7" s="1"/>
  <c r="K41" i="7" s="1"/>
  <c r="K42" i="7" s="1"/>
  <c r="K43" i="7" s="1"/>
  <c r="K44" i="7" s="1"/>
  <c r="K45" i="7" s="1"/>
  <c r="K46" i="7"/>
  <c r="K47" i="7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37" i="7"/>
  <c r="F112" i="7"/>
  <c r="F111" i="7"/>
  <c r="F110" i="7"/>
  <c r="F109" i="7"/>
  <c r="F108" i="7"/>
  <c r="F107" i="7"/>
  <c r="L59" i="7" s="1"/>
  <c r="F106" i="7"/>
  <c r="L58" i="7" s="1"/>
  <c r="F105" i="7"/>
  <c r="F104" i="7"/>
  <c r="F103" i="7"/>
  <c r="F102" i="7"/>
  <c r="F101" i="7"/>
  <c r="L57" i="7" s="1"/>
  <c r="F100" i="7"/>
  <c r="F99" i="7"/>
  <c r="F98" i="7"/>
  <c r="L56" i="7" s="1"/>
  <c r="F97" i="7"/>
  <c r="F96" i="7"/>
  <c r="F95" i="7"/>
  <c r="F94" i="7"/>
  <c r="F93" i="7"/>
  <c r="L54" i="7" s="1"/>
  <c r="F92" i="7"/>
  <c r="F91" i="7"/>
  <c r="F90" i="7"/>
  <c r="L53" i="7" s="1"/>
  <c r="F89" i="7"/>
  <c r="F88" i="7"/>
  <c r="F87" i="7"/>
  <c r="F86" i="7"/>
  <c r="F85" i="7"/>
  <c r="F84" i="7"/>
  <c r="F83" i="7"/>
  <c r="L51" i="7" s="1"/>
  <c r="F82" i="7"/>
  <c r="L50" i="7" s="1"/>
  <c r="F81" i="7"/>
  <c r="F80" i="7"/>
  <c r="F79" i="7"/>
  <c r="F78" i="7"/>
  <c r="F77" i="7"/>
  <c r="L49" i="7" s="1"/>
  <c r="F76" i="7"/>
  <c r="F75" i="7"/>
  <c r="F74" i="7"/>
  <c r="L48" i="7" s="1"/>
  <c r="F73" i="7"/>
  <c r="F72" i="7"/>
  <c r="L47" i="7" s="1"/>
  <c r="F71" i="7"/>
  <c r="F70" i="7"/>
  <c r="F69" i="7"/>
  <c r="F68" i="7"/>
  <c r="F67" i="7"/>
  <c r="L46" i="7" s="1"/>
  <c r="F66" i="7"/>
  <c r="F65" i="7"/>
  <c r="F64" i="7"/>
  <c r="F63" i="7"/>
  <c r="F62" i="7"/>
  <c r="F61" i="7"/>
  <c r="F60" i="7"/>
  <c r="L45" i="7" s="1"/>
  <c r="M45" i="7" s="1"/>
  <c r="F59" i="7"/>
  <c r="F58" i="7"/>
  <c r="L44" i="7" s="1"/>
  <c r="M44" i="7" s="1"/>
  <c r="F57" i="7"/>
  <c r="F56" i="7"/>
  <c r="F55" i="7"/>
  <c r="F54" i="7"/>
  <c r="L43" i="7" s="1"/>
  <c r="M43" i="7" s="1"/>
  <c r="F53" i="7"/>
  <c r="F52" i="7"/>
  <c r="F51" i="7"/>
  <c r="L42" i="7" s="1"/>
  <c r="M42" i="7" s="1"/>
  <c r="F50" i="7"/>
  <c r="F49" i="7"/>
  <c r="F48" i="7"/>
  <c r="L41" i="7" s="1"/>
  <c r="F47" i="7"/>
  <c r="F46" i="7"/>
  <c r="F45" i="7"/>
  <c r="L40" i="7" s="1"/>
  <c r="M40" i="7" s="1"/>
  <c r="F44" i="7"/>
  <c r="F43" i="7"/>
  <c r="F42" i="7"/>
  <c r="L38" i="7" s="1"/>
  <c r="M38" i="7" s="1"/>
  <c r="F41" i="7"/>
  <c r="F40" i="7"/>
  <c r="F39" i="7"/>
  <c r="F38" i="7"/>
  <c r="F37" i="7"/>
  <c r="L37" i="7" s="1"/>
  <c r="N37" i="7" s="1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E21" i="7"/>
  <c r="E22" i="7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12" i="7"/>
  <c r="E13" i="7" s="1"/>
  <c r="E14" i="7" s="1"/>
  <c r="E15" i="7" s="1"/>
  <c r="E16" i="7" s="1"/>
  <c r="E17" i="7" s="1"/>
  <c r="E18" i="7" s="1"/>
  <c r="E19" i="7" s="1"/>
  <c r="E20" i="7" s="1"/>
  <c r="E122" i="7"/>
  <c r="L52" i="7" l="1"/>
  <c r="L39" i="7"/>
  <c r="M39" i="7" s="1"/>
  <c r="M37" i="7"/>
  <c r="N38" i="7"/>
  <c r="M41" i="7"/>
  <c r="N40" i="7"/>
  <c r="B4" i="14"/>
  <c r="B3" i="14"/>
  <c r="B2" i="14"/>
  <c r="B4" i="2"/>
  <c r="B3" i="2"/>
  <c r="B2" i="2"/>
  <c r="B5" i="15"/>
  <c r="B5" i="2" s="1"/>
  <c r="D10" i="2"/>
  <c r="E10" i="2" s="1"/>
  <c r="E16" i="14"/>
  <c r="E17" i="14"/>
  <c r="E18" i="14"/>
  <c r="E19" i="14"/>
  <c r="E20" i="14"/>
  <c r="N39" i="7" l="1"/>
  <c r="N41" i="7"/>
  <c r="B5" i="14"/>
  <c r="E12" i="14"/>
  <c r="E11" i="14"/>
  <c r="C8" i="14"/>
  <c r="J19" i="14" s="1"/>
  <c r="E10" i="14"/>
  <c r="E13" i="14"/>
  <c r="E14" i="14"/>
  <c r="N42" i="7" l="1"/>
  <c r="J13" i="14"/>
  <c r="J14" i="14"/>
  <c r="J20" i="14"/>
  <c r="J16" i="14"/>
  <c r="J17" i="14"/>
  <c r="J18" i="14"/>
  <c r="J10" i="14"/>
  <c r="J11" i="14"/>
  <c r="J12" i="14"/>
  <c r="E15" i="14"/>
  <c r="J15" i="14" s="1"/>
  <c r="F10" i="14"/>
  <c r="N43" i="7" l="1"/>
  <c r="H11" i="14"/>
  <c r="N44" i="7" l="1"/>
  <c r="H10" i="14"/>
  <c r="H12" i="14"/>
  <c r="H20" i="14"/>
  <c r="H13" i="14"/>
  <c r="H14" i="14"/>
  <c r="H15" i="14"/>
  <c r="H17" i="14"/>
  <c r="H18" i="14"/>
  <c r="H16" i="14"/>
  <c r="H19" i="14"/>
  <c r="F18" i="14"/>
  <c r="F19" i="14"/>
  <c r="F11" i="14"/>
  <c r="F20" i="14"/>
  <c r="F12" i="14"/>
  <c r="F13" i="14"/>
  <c r="F14" i="14"/>
  <c r="F15" i="14"/>
  <c r="F16" i="14"/>
  <c r="F17" i="14"/>
  <c r="A3" i="11"/>
  <c r="N45" i="7" l="1"/>
  <c r="C3" i="11"/>
  <c r="B3" i="11"/>
  <c r="E5" i="11" l="1"/>
  <c r="M5" i="11"/>
  <c r="E6" i="11"/>
  <c r="M6" i="11"/>
  <c r="E7" i="11"/>
  <c r="M7" i="11"/>
  <c r="E8" i="11"/>
  <c r="M8" i="11"/>
  <c r="E9" i="11"/>
  <c r="M9" i="11"/>
  <c r="E10" i="11"/>
  <c r="M10" i="11"/>
  <c r="E11" i="11"/>
  <c r="M11" i="11"/>
  <c r="E12" i="11"/>
  <c r="M12" i="11"/>
  <c r="E13" i="11"/>
  <c r="M13" i="11"/>
  <c r="E14" i="11"/>
  <c r="M14" i="11"/>
  <c r="E15" i="11"/>
  <c r="M15" i="11"/>
  <c r="E16" i="11"/>
  <c r="M16" i="11"/>
  <c r="E17" i="11"/>
  <c r="M17" i="11"/>
  <c r="E18" i="11"/>
  <c r="M18" i="11"/>
  <c r="C6" i="11"/>
  <c r="C14" i="11"/>
  <c r="F5" i="11"/>
  <c r="N5" i="11"/>
  <c r="F6" i="11"/>
  <c r="N6" i="11"/>
  <c r="F7" i="11"/>
  <c r="N7" i="11"/>
  <c r="F8" i="11"/>
  <c r="N8" i="11"/>
  <c r="F9" i="11"/>
  <c r="N9" i="11"/>
  <c r="F10" i="11"/>
  <c r="N10" i="11"/>
  <c r="F11" i="11"/>
  <c r="N11" i="11"/>
  <c r="F12" i="11"/>
  <c r="N12" i="11"/>
  <c r="F13" i="11"/>
  <c r="N13" i="11"/>
  <c r="F14" i="11"/>
  <c r="N14" i="11"/>
  <c r="F15" i="11"/>
  <c r="N15" i="11"/>
  <c r="F16" i="11"/>
  <c r="N16" i="11"/>
  <c r="F17" i="11"/>
  <c r="N17" i="11"/>
  <c r="F18" i="11"/>
  <c r="N18" i="11"/>
  <c r="C7" i="11"/>
  <c r="C15" i="11"/>
  <c r="R6" i="11"/>
  <c r="R7" i="11"/>
  <c r="R8" i="11"/>
  <c r="R9" i="11"/>
  <c r="R10" i="11"/>
  <c r="R11" i="11"/>
  <c r="J13" i="11"/>
  <c r="J14" i="11"/>
  <c r="R15" i="11"/>
  <c r="J17" i="11"/>
  <c r="R18" i="11"/>
  <c r="K5" i="11"/>
  <c r="K6" i="11"/>
  <c r="K7" i="11"/>
  <c r="K8" i="11"/>
  <c r="G5" i="11"/>
  <c r="O5" i="11"/>
  <c r="G6" i="11"/>
  <c r="O6" i="11"/>
  <c r="G7" i="11"/>
  <c r="O7" i="11"/>
  <c r="G8" i="11"/>
  <c r="O8" i="11"/>
  <c r="G9" i="11"/>
  <c r="O9" i="11"/>
  <c r="G10" i="11"/>
  <c r="O10" i="11"/>
  <c r="G11" i="11"/>
  <c r="O11" i="11"/>
  <c r="G12" i="11"/>
  <c r="O12" i="11"/>
  <c r="G13" i="11"/>
  <c r="O13" i="11"/>
  <c r="G14" i="11"/>
  <c r="O14" i="11"/>
  <c r="G15" i="11"/>
  <c r="O15" i="11"/>
  <c r="G16" i="11"/>
  <c r="O16" i="11"/>
  <c r="G17" i="11"/>
  <c r="O17" i="11"/>
  <c r="G18" i="11"/>
  <c r="O18" i="11"/>
  <c r="C8" i="11"/>
  <c r="C16" i="11"/>
  <c r="H5" i="11"/>
  <c r="H6" i="11"/>
  <c r="P6" i="11"/>
  <c r="H7" i="11"/>
  <c r="H8" i="11"/>
  <c r="P8" i="11"/>
  <c r="P9" i="11"/>
  <c r="P10" i="11"/>
  <c r="H11" i="11"/>
  <c r="H12" i="11"/>
  <c r="P12" i="11"/>
  <c r="P13" i="11"/>
  <c r="P14" i="11"/>
  <c r="P15" i="11"/>
  <c r="P16" i="11"/>
  <c r="H17" i="11"/>
  <c r="H18" i="11"/>
  <c r="C9" i="11"/>
  <c r="I5" i="11"/>
  <c r="Q5" i="11"/>
  <c r="Q6" i="11"/>
  <c r="Q7" i="11"/>
  <c r="Q8" i="11"/>
  <c r="I9" i="11"/>
  <c r="I10" i="11"/>
  <c r="I11" i="11"/>
  <c r="I12" i="11"/>
  <c r="I13" i="11"/>
  <c r="I14" i="11"/>
  <c r="I15" i="11"/>
  <c r="I16" i="11"/>
  <c r="I17" i="11"/>
  <c r="I18" i="11"/>
  <c r="C10" i="11"/>
  <c r="R12" i="11"/>
  <c r="R14" i="11"/>
  <c r="R16" i="11"/>
  <c r="J18" i="11"/>
  <c r="C11" i="11"/>
  <c r="S5" i="11"/>
  <c r="S6" i="11"/>
  <c r="S7" i="11"/>
  <c r="P5" i="11"/>
  <c r="P7" i="11"/>
  <c r="H9" i="11"/>
  <c r="H10" i="11"/>
  <c r="P11" i="11"/>
  <c r="H13" i="11"/>
  <c r="H14" i="11"/>
  <c r="H15" i="11"/>
  <c r="H16" i="11"/>
  <c r="P17" i="11"/>
  <c r="P18" i="11"/>
  <c r="C17" i="11"/>
  <c r="I6" i="11"/>
  <c r="I7" i="11"/>
  <c r="I8" i="11"/>
  <c r="Q9" i="11"/>
  <c r="Q10" i="11"/>
  <c r="Q11" i="11"/>
  <c r="Q12" i="11"/>
  <c r="Q13" i="11"/>
  <c r="Q14" i="11"/>
  <c r="Q15" i="11"/>
  <c r="Q16" i="11"/>
  <c r="Q17" i="11"/>
  <c r="Q18" i="11"/>
  <c r="C5" i="11"/>
  <c r="J5" i="11"/>
  <c r="R5" i="11"/>
  <c r="J6" i="11"/>
  <c r="J7" i="11"/>
  <c r="J8" i="11"/>
  <c r="J9" i="11"/>
  <c r="J10" i="11"/>
  <c r="J11" i="11"/>
  <c r="J12" i="11"/>
  <c r="R13" i="11"/>
  <c r="J15" i="11"/>
  <c r="J16" i="11"/>
  <c r="R17" i="11"/>
  <c r="L7" i="11"/>
  <c r="D10" i="11"/>
  <c r="D12" i="11"/>
  <c r="D14" i="11"/>
  <c r="D16" i="11"/>
  <c r="D18" i="11"/>
  <c r="D8" i="11"/>
  <c r="K10" i="11"/>
  <c r="K12" i="11"/>
  <c r="K14" i="11"/>
  <c r="K16" i="11"/>
  <c r="K18" i="11"/>
  <c r="L8" i="11"/>
  <c r="L10" i="11"/>
  <c r="L12" i="11"/>
  <c r="L14" i="11"/>
  <c r="L16" i="11"/>
  <c r="L18" i="11"/>
  <c r="D5" i="11"/>
  <c r="S8" i="11"/>
  <c r="S10" i="11"/>
  <c r="S12" i="11"/>
  <c r="S14" i="11"/>
  <c r="S16" i="11"/>
  <c r="S18" i="11"/>
  <c r="L5" i="11"/>
  <c r="D9" i="11"/>
  <c r="D11" i="11"/>
  <c r="D13" i="11"/>
  <c r="D15" i="11"/>
  <c r="D17" i="11"/>
  <c r="C18" i="11"/>
  <c r="D6" i="11"/>
  <c r="K9" i="11"/>
  <c r="K11" i="11"/>
  <c r="K13" i="11"/>
  <c r="K15" i="11"/>
  <c r="K17" i="11"/>
  <c r="C12" i="11"/>
  <c r="L6" i="11"/>
  <c r="L9" i="11"/>
  <c r="L11" i="11"/>
  <c r="L13" i="11"/>
  <c r="L15" i="11"/>
  <c r="L17" i="11"/>
  <c r="C13" i="11"/>
  <c r="D7" i="11"/>
  <c r="S9" i="11"/>
  <c r="S11" i="11"/>
  <c r="S13" i="11"/>
  <c r="S15" i="11"/>
  <c r="S17" i="11"/>
  <c r="M57" i="7" l="1"/>
  <c r="M50" i="7"/>
  <c r="M51" i="7"/>
  <c r="N50" i="7"/>
  <c r="N51" i="7"/>
  <c r="M56" i="7"/>
  <c r="M58" i="7"/>
  <c r="N46" i="7"/>
  <c r="M46" i="7"/>
  <c r="M49" i="7"/>
  <c r="N48" i="7"/>
  <c r="M47" i="7"/>
  <c r="M48" i="7"/>
  <c r="N47" i="7"/>
  <c r="N49" i="7"/>
  <c r="M55" i="7"/>
  <c r="M54" i="7"/>
  <c r="M59" i="7"/>
  <c r="M53" i="7"/>
  <c r="M52" i="7"/>
  <c r="N52" i="7"/>
  <c r="N53" i="7"/>
  <c r="N54" i="7"/>
  <c r="E123" i="7"/>
  <c r="C225" i="7"/>
  <c r="C226" i="7" s="1"/>
  <c r="C227" i="7" s="1"/>
  <c r="C228" i="7" s="1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181" i="7"/>
  <c r="E169" i="7"/>
  <c r="E170" i="7"/>
  <c r="E171" i="7"/>
  <c r="E172" i="7"/>
  <c r="E168" i="7"/>
  <c r="C175" i="7"/>
  <c r="C155" i="7"/>
  <c r="N55" i="7" l="1"/>
  <c r="D238" i="7"/>
  <c r="D229" i="7"/>
  <c r="D175" i="7"/>
  <c r="D231" i="7"/>
  <c r="D176" i="7"/>
  <c r="D228" i="7"/>
  <c r="D236" i="7"/>
  <c r="D237" i="7"/>
  <c r="D227" i="7"/>
  <c r="D235" i="7"/>
  <c r="D225" i="7"/>
  <c r="D232" i="7"/>
  <c r="D226" i="7"/>
  <c r="D233" i="7"/>
  <c r="D234" i="7"/>
  <c r="D230" i="7"/>
  <c r="C229" i="7"/>
  <c r="C230" i="7" s="1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30" i="7"/>
  <c r="E131" i="7"/>
  <c r="E132" i="7"/>
  <c r="E133" i="7"/>
  <c r="E134" i="7"/>
  <c r="E126" i="7"/>
  <c r="E127" i="7"/>
  <c r="E128" i="7"/>
  <c r="E129" i="7"/>
  <c r="E124" i="7"/>
  <c r="E125" i="7"/>
  <c r="N56" i="7" l="1"/>
  <c r="E236" i="7"/>
  <c r="E228" i="7"/>
  <c r="F228" i="7"/>
  <c r="F226" i="7"/>
  <c r="E226" i="7"/>
  <c r="E234" i="7"/>
  <c r="E233" i="7"/>
  <c r="E232" i="7"/>
  <c r="E231" i="7"/>
  <c r="E237" i="7"/>
  <c r="E225" i="7"/>
  <c r="F225" i="7"/>
  <c r="E235" i="7"/>
  <c r="F229" i="7"/>
  <c r="E229" i="7"/>
  <c r="F230" i="7"/>
  <c r="E230" i="7"/>
  <c r="F227" i="7"/>
  <c r="E227" i="7"/>
  <c r="E175" i="7"/>
  <c r="F175" i="7"/>
  <c r="D157" i="7"/>
  <c r="F14" i="7" s="1"/>
  <c r="D162" i="7"/>
  <c r="F19" i="7" s="1"/>
  <c r="D161" i="7"/>
  <c r="F18" i="7" s="1"/>
  <c r="D156" i="7"/>
  <c r="F13" i="7" s="1"/>
  <c r="D163" i="7"/>
  <c r="F20" i="7" s="1"/>
  <c r="D155" i="7"/>
  <c r="D159" i="7"/>
  <c r="F16" i="7" s="1"/>
  <c r="D158" i="7"/>
  <c r="F15" i="7" s="1"/>
  <c r="D160" i="7"/>
  <c r="F17" i="7" s="1"/>
  <c r="C231" i="7"/>
  <c r="F231" i="7" s="1"/>
  <c r="O59" i="7" l="1"/>
  <c r="O51" i="7"/>
  <c r="O49" i="7"/>
  <c r="O54" i="7"/>
  <c r="O57" i="7"/>
  <c r="O52" i="7"/>
  <c r="O48" i="7"/>
  <c r="O55" i="7"/>
  <c r="O47" i="7"/>
  <c r="O58" i="7"/>
  <c r="O50" i="7"/>
  <c r="O53" i="7"/>
  <c r="O56" i="7"/>
  <c r="P47" i="7"/>
  <c r="P48" i="7"/>
  <c r="P49" i="7"/>
  <c r="P50" i="7"/>
  <c r="P51" i="7"/>
  <c r="P52" i="7"/>
  <c r="P53" i="7"/>
  <c r="P54" i="7"/>
  <c r="P55" i="7"/>
  <c r="N57" i="7"/>
  <c r="P57" i="7"/>
  <c r="P56" i="7"/>
  <c r="O46" i="7"/>
  <c r="P46" i="7"/>
  <c r="O40" i="7"/>
  <c r="O45" i="7"/>
  <c r="O41" i="7"/>
  <c r="O37" i="7"/>
  <c r="O44" i="7"/>
  <c r="O42" i="7"/>
  <c r="O38" i="7"/>
  <c r="O43" i="7"/>
  <c r="O39" i="7"/>
  <c r="P37" i="7"/>
  <c r="P38" i="7"/>
  <c r="P39" i="7"/>
  <c r="P40" i="7"/>
  <c r="P41" i="7"/>
  <c r="P42" i="7"/>
  <c r="P43" i="7"/>
  <c r="P44" i="7"/>
  <c r="P45" i="7"/>
  <c r="A9" i="7"/>
  <c r="G156" i="7"/>
  <c r="G159" i="7"/>
  <c r="G161" i="7"/>
  <c r="G157" i="7"/>
  <c r="G162" i="7"/>
  <c r="G163" i="7"/>
  <c r="G158" i="7"/>
  <c r="G160" i="7"/>
  <c r="G155" i="7"/>
  <c r="H155" i="7"/>
  <c r="F155" i="7"/>
  <c r="E155" i="7"/>
  <c r="G227" i="7"/>
  <c r="G231" i="7"/>
  <c r="G235" i="7"/>
  <c r="G232" i="7"/>
  <c r="H228" i="7"/>
  <c r="H227" i="7"/>
  <c r="H231" i="7"/>
  <c r="G228" i="7"/>
  <c r="G236" i="7"/>
  <c r="H230" i="7"/>
  <c r="G229" i="7"/>
  <c r="G233" i="7"/>
  <c r="G237" i="7"/>
  <c r="H229" i="7"/>
  <c r="G230" i="7"/>
  <c r="G234" i="7"/>
  <c r="H226" i="7"/>
  <c r="G226" i="7"/>
  <c r="G225" i="7"/>
  <c r="H225" i="7"/>
  <c r="H175" i="7"/>
  <c r="G175" i="7"/>
  <c r="E163" i="7"/>
  <c r="E156" i="7"/>
  <c r="E161" i="7"/>
  <c r="E157" i="7"/>
  <c r="E158" i="7"/>
  <c r="E162" i="7"/>
  <c r="E160" i="7"/>
  <c r="E159" i="7"/>
  <c r="C232" i="7"/>
  <c r="F232" i="7" s="1"/>
  <c r="C156" i="7"/>
  <c r="H156" i="7" s="1"/>
  <c r="N58" i="7" l="1"/>
  <c r="P58" i="7"/>
  <c r="F156" i="7"/>
  <c r="H232" i="7"/>
  <c r="C233" i="7"/>
  <c r="C157" i="7"/>
  <c r="H157" i="7" s="1"/>
  <c r="P59" i="7" l="1"/>
  <c r="N59" i="7"/>
  <c r="F233" i="7"/>
  <c r="H233" i="7"/>
  <c r="F157" i="7"/>
  <c r="C234" i="7"/>
  <c r="C158" i="7"/>
  <c r="H158" i="7" s="1"/>
  <c r="F234" i="7" l="1"/>
  <c r="H234" i="7"/>
  <c r="F158" i="7"/>
  <c r="C235" i="7"/>
  <c r="C159" i="7"/>
  <c r="H159" i="7" s="1"/>
  <c r="H10" i="2"/>
  <c r="F235" i="7" l="1"/>
  <c r="H235" i="7"/>
  <c r="F159" i="7"/>
  <c r="C236" i="7"/>
  <c r="C160" i="7"/>
  <c r="H160" i="7" s="1"/>
  <c r="H11" i="2"/>
  <c r="H12" i="2"/>
  <c r="H13" i="2"/>
  <c r="H14" i="2"/>
  <c r="H15" i="2"/>
  <c r="H16" i="2"/>
  <c r="H17" i="2"/>
  <c r="H18" i="2"/>
  <c r="H19" i="2"/>
  <c r="H20" i="2"/>
  <c r="H21" i="2"/>
  <c r="H22" i="2"/>
  <c r="I22" i="2"/>
  <c r="F236" i="7" l="1"/>
  <c r="H236" i="7"/>
  <c r="F160" i="7"/>
  <c r="C237" i="7"/>
  <c r="C161" i="7"/>
  <c r="H161" i="7" s="1"/>
  <c r="F237" i="7" l="1"/>
  <c r="H237" i="7"/>
  <c r="F161" i="7"/>
  <c r="C162" i="7"/>
  <c r="H162" i="7" s="1"/>
  <c r="G4" i="8"/>
  <c r="E4" i="8"/>
  <c r="F162" i="7" l="1"/>
  <c r="C163" i="7"/>
  <c r="H163" i="7" s="1"/>
  <c r="L2" i="3" a="1"/>
  <c r="L2" i="3" s="1"/>
  <c r="L3" i="3" s="1" a="1"/>
  <c r="L3" i="3" s="1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F163" i="7" l="1"/>
  <c r="B176" i="7"/>
  <c r="L4" i="3" a="1"/>
  <c r="L4" i="3" s="1"/>
  <c r="I16" i="2"/>
  <c r="I17" i="2"/>
  <c r="I18" i="2"/>
  <c r="I19" i="2"/>
  <c r="I20" i="2"/>
  <c r="I21" i="2"/>
  <c r="E176" i="7" l="1"/>
  <c r="G176" i="7"/>
  <c r="B238" i="7"/>
  <c r="C176" i="7"/>
  <c r="L5" i="3" a="1"/>
  <c r="L5" i="3" s="1"/>
  <c r="I14" i="2"/>
  <c r="I15" i="2"/>
  <c r="I13" i="2"/>
  <c r="I11" i="2"/>
  <c r="I10" i="2"/>
  <c r="I12" i="2"/>
  <c r="D22" i="2"/>
  <c r="E22" i="2" s="1"/>
  <c r="F22" i="2"/>
  <c r="F176" i="7" l="1"/>
  <c r="H176" i="7"/>
  <c r="E238" i="7"/>
  <c r="G238" i="7"/>
  <c r="C238" i="7"/>
  <c r="F10" i="2"/>
  <c r="L6" i="3" a="1"/>
  <c r="L6" i="3" s="1"/>
  <c r="C22" i="2"/>
  <c r="D18" i="2"/>
  <c r="E18" i="2" s="1"/>
  <c r="D19" i="2"/>
  <c r="E19" i="2" s="1"/>
  <c r="D20" i="2"/>
  <c r="E20" i="2" s="1"/>
  <c r="D21" i="2"/>
  <c r="E21" i="2" s="1"/>
  <c r="F18" i="2"/>
  <c r="F19" i="2"/>
  <c r="F20" i="2"/>
  <c r="F21" i="2"/>
  <c r="F238" i="7" l="1"/>
  <c r="H238" i="7"/>
  <c r="C10" i="2"/>
  <c r="L7" i="3" a="1"/>
  <c r="L7" i="3" s="1"/>
  <c r="C21" i="2"/>
  <c r="C20" i="2"/>
  <c r="C19" i="2"/>
  <c r="C18" i="2"/>
  <c r="D17" i="2"/>
  <c r="E17" i="2" s="1"/>
  <c r="F14" i="2"/>
  <c r="F15" i="2"/>
  <c r="F16" i="2"/>
  <c r="F17" i="2"/>
  <c r="L8" i="3" l="1" a="1"/>
  <c r="L8" i="3" s="1"/>
  <c r="C17" i="2"/>
  <c r="D16" i="2"/>
  <c r="E16" i="2" s="1"/>
  <c r="D14" i="2"/>
  <c r="E14" i="2" s="1"/>
  <c r="D15" i="2"/>
  <c r="E15" i="2" s="1"/>
  <c r="D11" i="2"/>
  <c r="E11" i="2" s="1"/>
  <c r="L9" i="3" l="1" a="1"/>
  <c r="L9" i="3" s="1"/>
  <c r="C15" i="2"/>
  <c r="C14" i="2"/>
  <c r="C16" i="2"/>
  <c r="C11" i="2"/>
  <c r="D12" i="2"/>
  <c r="E12" i="2" s="1"/>
  <c r="D13" i="2"/>
  <c r="E13" i="2" s="1"/>
  <c r="C13" i="2" l="1"/>
  <c r="L10" i="3" a="1"/>
  <c r="L10" i="3" s="1"/>
  <c r="C12" i="2"/>
  <c r="L11" i="3" l="1" a="1"/>
  <c r="L11" i="3" s="1"/>
  <c r="O13" i="1"/>
  <c r="L12" i="3" l="1" a="1"/>
  <c r="L12" i="3" s="1"/>
  <c r="L13" i="3" s="1" a="1"/>
  <c r="L13" i="3" s="1"/>
  <c r="L14" i="3" s="1" a="1"/>
  <c r="L14" i="3" s="1"/>
  <c r="B4" i="6"/>
  <c r="A14" i="6"/>
  <c r="A15" i="6"/>
  <c r="A17" i="6"/>
  <c r="A18" i="6"/>
  <c r="A20" i="6"/>
  <c r="B27" i="6"/>
  <c r="B28" i="6"/>
  <c r="B29" i="6"/>
  <c r="B30" i="6"/>
  <c r="B34" i="6"/>
  <c r="B35" i="6" s="1"/>
  <c r="B31" i="6" l="1"/>
  <c r="L13" i="1"/>
  <c r="M13" i="1" s="1"/>
  <c r="H13" i="1"/>
  <c r="I13" i="1" s="1"/>
  <c r="N13" i="1" s="1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Q13" i="1"/>
  <c r="T13" i="1" s="1"/>
  <c r="U13" i="1" s="1"/>
  <c r="R13" i="1" l="1"/>
  <c r="F13" i="2" l="1"/>
  <c r="B8" i="4"/>
  <c r="B7" i="4"/>
  <c r="B4" i="4"/>
  <c r="C4" i="4"/>
  <c r="A11" i="2" l="1"/>
  <c r="A12" i="2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F11" i="2" l="1"/>
  <c r="F12" i="2"/>
  <c r="I4" i="8" l="1"/>
  <c r="J4" i="8" l="1"/>
  <c r="L4" i="8"/>
  <c r="M4" i="8" s="1"/>
  <c r="F4" i="8"/>
</calcChain>
</file>

<file path=xl/comments1.xml><?xml version="1.0" encoding="utf-8"?>
<comments xmlns="http://schemas.openxmlformats.org/spreadsheetml/2006/main">
  <authors>
    <author>Robyn Robinson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Design for Typical Duct Velocities.  Use General for Custom Value.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Restore Velocity, Friction, Duct Type, Design For, and Actual Ø to default values.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Toggle Cummulative Duct Sizing Base on CFM.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Cubic Feet Per Minute Air Volume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Feet Per Minute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Calculated Duct Diameter Based on CFM, FPM/Friction, and Free Area.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Only Active for Round Ductwork</t>
        </r>
      </text>
    </comment>
    <comment ref="F9" authorId="0" shapeId="0">
      <text>
        <r>
          <rPr>
            <b/>
            <sz val="9"/>
            <color indexed="81"/>
            <rFont val="Tahoma"/>
            <family val="2"/>
          </rPr>
          <t>Equivalent Round Ductwork Diameter Based on Rectangular Dimensions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Cumlative CFM Value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Free Area Percentage</t>
        </r>
      </text>
    </comment>
  </commentList>
</comments>
</file>

<file path=xl/sharedStrings.xml><?xml version="1.0" encoding="utf-8"?>
<sst xmlns="http://schemas.openxmlformats.org/spreadsheetml/2006/main" count="1129" uniqueCount="288">
  <si>
    <t>FPM</t>
  </si>
  <si>
    <t>CFM</t>
  </si>
  <si>
    <t>Date:</t>
  </si>
  <si>
    <t>RCR</t>
  </si>
  <si>
    <t>Engineer:</t>
  </si>
  <si>
    <t>Job Number:</t>
  </si>
  <si>
    <t>Job Name:</t>
  </si>
  <si>
    <t>a [in]</t>
  </si>
  <si>
    <t>b [in]</t>
  </si>
  <si>
    <t>EQØ [in]</t>
  </si>
  <si>
    <t>Actual Ø [in]</t>
  </si>
  <si>
    <t>Calc Ø [in]</t>
  </si>
  <si>
    <t>Basis</t>
  </si>
  <si>
    <t>Velocity</t>
  </si>
  <si>
    <t>Friction</t>
  </si>
  <si>
    <t>Duct Type</t>
  </si>
  <si>
    <t>Rectangular</t>
  </si>
  <si>
    <t>Design For</t>
  </si>
  <si>
    <t>Formula</t>
  </si>
  <si>
    <t>Pv = 0.075 [(V/1097)^2]</t>
  </si>
  <si>
    <t>Duct Element</t>
  </si>
  <si>
    <t>[CFM]</t>
  </si>
  <si>
    <t>VP [in.w.c.]</t>
  </si>
  <si>
    <t>Loss Coefficient</t>
  </si>
  <si>
    <t>Duct Length</t>
  </si>
  <si>
    <t>Total Pressure Loss</t>
  </si>
  <si>
    <t>Duct Pressure Loss/100ft</t>
  </si>
  <si>
    <t>PT</t>
  </si>
  <si>
    <t>PL</t>
  </si>
  <si>
    <t>PT [in.w.c]</t>
  </si>
  <si>
    <t>PL [in.w.c.]</t>
  </si>
  <si>
    <t>C</t>
  </si>
  <si>
    <t>VP</t>
  </si>
  <si>
    <t>Velocity Pressure</t>
  </si>
  <si>
    <t>V</t>
  </si>
  <si>
    <t>V [FPM]</t>
  </si>
  <si>
    <t>H</t>
  </si>
  <si>
    <t>Duct Height</t>
  </si>
  <si>
    <t>W</t>
  </si>
  <si>
    <t>Duct Width</t>
  </si>
  <si>
    <t>L</t>
  </si>
  <si>
    <t>L [ft]</t>
  </si>
  <si>
    <t>Net Gain [Btu/h]</t>
  </si>
  <si>
    <t>[Btu/h]</t>
  </si>
  <si>
    <t>Condenser Cooling Coil Capacity [Btu/h]</t>
  </si>
  <si>
    <t>Condenser Coil Capacity including 30% Diversity [Btu/h]</t>
  </si>
  <si>
    <t>Fan Total Cooling Load</t>
  </si>
  <si>
    <t>Size fan units close to TC load and based on amount of usage</t>
  </si>
  <si>
    <t>Fan Sensible Cooling Load (75% of TC)</t>
  </si>
  <si>
    <t>For Climate Master Assume 10°F ΔT</t>
  </si>
  <si>
    <t>[GPM]</t>
  </si>
  <si>
    <r>
      <rPr>
        <b/>
        <sz val="16"/>
        <rFont val="Arial Black"/>
        <family val="2"/>
      </rPr>
      <t>DUCTILATOR</t>
    </r>
    <r>
      <rPr>
        <b/>
        <sz val="16"/>
        <rFont val="Comic Sans MS"/>
        <family val="4"/>
      </rPr>
      <t xml:space="preserve">
</t>
    </r>
    <r>
      <rPr>
        <b/>
        <sz val="8"/>
        <rFont val="Arial"/>
        <family val="2"/>
      </rPr>
      <t>(HAZEN-WILLIAMS Pressure Drop Equation)</t>
    </r>
  </si>
  <si>
    <t>No.</t>
  </si>
  <si>
    <t>Round</t>
  </si>
  <si>
    <t>Restore</t>
  </si>
  <si>
    <t>N/A</t>
  </si>
  <si>
    <t>ASHRAE FITTING #</t>
  </si>
  <si>
    <t>CD3-1</t>
  </si>
  <si>
    <t>ASHRAE Description</t>
  </si>
  <si>
    <t>CD3-3</t>
  </si>
  <si>
    <t>Elbow, Die Stamped, 90°, r/D=1.5</t>
  </si>
  <si>
    <t>Elbow, Die Stamped, 45°, r/D=1.5</t>
  </si>
  <si>
    <t>Type</t>
  </si>
  <si>
    <t>Elbow</t>
  </si>
  <si>
    <t>Fire Damper</t>
  </si>
  <si>
    <t>CD9-3</t>
  </si>
  <si>
    <t>Fire Damper, Curtain Type, Type C, Horizontal Duct</t>
  </si>
  <si>
    <t>Transition</t>
  </si>
  <si>
    <t>ED4-1</t>
  </si>
  <si>
    <t>Transition, Rount-to-Round, Exhaust/Return Systems, θ=15°</t>
  </si>
  <si>
    <t>ED4-2</t>
  </si>
  <si>
    <t>Transition, Rount-to-Rectangular, Exhaust/Return Systems, θ=15°</t>
  </si>
  <si>
    <t>SD4-1</t>
  </si>
  <si>
    <t>Transition, Rount-to-Rectangular, Supply Air Systems</t>
  </si>
  <si>
    <t>Transition, Rount-to-Round, Supply Air Systems</t>
  </si>
  <si>
    <t>SD4-2</t>
  </si>
  <si>
    <t>Transition, Rectangular-to-Round, Supply Air Systems</t>
  </si>
  <si>
    <t>CR3-1</t>
  </si>
  <si>
    <t>Diameter, A0/A1, H/W</t>
  </si>
  <si>
    <t>Elbow, Smooth Radius, Without Vanes, r/W=1.5, θ=45°</t>
  </si>
  <si>
    <t>Elbow, Smooth Radius, Without Vanes, r/W=1.5, θ=90°</t>
  </si>
  <si>
    <t>CR3-15</t>
  </si>
  <si>
    <t>Elbow, Mitered, 90°, Double-Thickness Vanes (2.125in. Vane Spacing)</t>
  </si>
  <si>
    <t>Damper</t>
  </si>
  <si>
    <t>CR9-1</t>
  </si>
  <si>
    <t>Damper, Butterfly</t>
  </si>
  <si>
    <t>CR9-3</t>
  </si>
  <si>
    <t>Damper, Parrallel and Opposed 3V Blades, Open</t>
  </si>
  <si>
    <t>CR9-4</t>
  </si>
  <si>
    <t>Damper, Parrallel and Opposed Airfoil Blades, Open</t>
  </si>
  <si>
    <t>CF9-6</t>
  </si>
  <si>
    <t>Fire Damper, Curtain Type, Type B, Horizontal Duct</t>
  </si>
  <si>
    <t>H/W</t>
  </si>
  <si>
    <t>D1[in]</t>
  </si>
  <si>
    <t>D2[in]</t>
  </si>
  <si>
    <t>W1 [in]</t>
  </si>
  <si>
    <t>H1 [in]</t>
  </si>
  <si>
    <t>A1[in]</t>
  </si>
  <si>
    <t>A2[in]</t>
  </si>
  <si>
    <t>A1/A2</t>
  </si>
  <si>
    <t>0.00</t>
  </si>
  <si>
    <t>15.00</t>
  </si>
  <si>
    <t>30.00</t>
  </si>
  <si>
    <t>45.00</t>
  </si>
  <si>
    <t>60.00</t>
  </si>
  <si>
    <t>GPM</t>
  </si>
  <si>
    <t>Btu/h total</t>
  </si>
  <si>
    <t>Residental ΔT [°F]</t>
  </si>
  <si>
    <t>Total Head Loss [ft.hd]</t>
  </si>
  <si>
    <t>30% Saftey Factor</t>
  </si>
  <si>
    <t>Head Loss [ft.hd]</t>
  </si>
  <si>
    <t>Fitting Pressure Drop</t>
  </si>
  <si>
    <t>Total Length [ft]</t>
  </si>
  <si>
    <t>Approximate Heat Loss</t>
  </si>
  <si>
    <t>Len [ft]</t>
  </si>
  <si>
    <t>Cu</t>
  </si>
  <si>
    <t>Steel</t>
  </si>
  <si>
    <t>Cu/Steel</t>
  </si>
  <si>
    <t>Size [in]</t>
  </si>
  <si>
    <t>Noninsulated</t>
  </si>
  <si>
    <t>Insulated</t>
  </si>
  <si>
    <t>BTUH Loss per 100ft</t>
  </si>
  <si>
    <t>Btu/GPM</t>
  </si>
  <si>
    <t>Temp Drop (ΔT) [°F]</t>
  </si>
  <si>
    <t>Engr:</t>
  </si>
  <si>
    <t>Project Number:</t>
  </si>
  <si>
    <t>420 West Broadway</t>
  </si>
  <si>
    <t>Project Name:</t>
  </si>
  <si>
    <t>HOT WATER RECIRCULATION PUMP SIZING</t>
  </si>
  <si>
    <t>W2 [in]</t>
  </si>
  <si>
    <t>H2 [in]</t>
  </si>
  <si>
    <t>ASHRAE
Fitting No.</t>
  </si>
  <si>
    <t>Transition
Angle</t>
  </si>
  <si>
    <t>ΣSizing</t>
  </si>
  <si>
    <t>ΣCFM</t>
  </si>
  <si>
    <t>FA</t>
  </si>
  <si>
    <t>30°</t>
  </si>
  <si>
    <t>IMG</t>
  </si>
  <si>
    <t>Unique.FT</t>
  </si>
  <si>
    <t>Off</t>
  </si>
  <si>
    <t>PD</t>
  </si>
  <si>
    <t>TPD</t>
  </si>
  <si>
    <t>EQD</t>
  </si>
  <si>
    <t>AD</t>
  </si>
  <si>
    <t>AREA</t>
  </si>
  <si>
    <t xml:space="preserve"> </t>
  </si>
  <si>
    <t>GAS PIPING SIZING</t>
  </si>
  <si>
    <t>NOMINAL PIPE SIZE</t>
  </si>
  <si>
    <t>INSIDE DIAMETER</t>
  </si>
  <si>
    <t>TEE</t>
  </si>
  <si>
    <t>GATE VALVE</t>
  </si>
  <si>
    <t>GLOBE VALVE</t>
  </si>
  <si>
    <t>ANGLE VALVE</t>
  </si>
  <si>
    <t>SWING CHECK</t>
  </si>
  <si>
    <t>Appliance</t>
  </si>
  <si>
    <t>RTU-1</t>
  </si>
  <si>
    <t>Fitting</t>
  </si>
  <si>
    <t>QTY</t>
  </si>
  <si>
    <t>Size</t>
  </si>
  <si>
    <t>45° ELBOW</t>
  </si>
  <si>
    <t>90° ELBOW</t>
  </si>
  <si>
    <t>MAIN</t>
  </si>
  <si>
    <t>PLUG 
VALVE</t>
  </si>
  <si>
    <t>RTU-2</t>
  </si>
  <si>
    <t>RTU-3</t>
  </si>
  <si>
    <t>ROOF</t>
  </si>
  <si>
    <t>RTU-4</t>
  </si>
  <si>
    <t>RTU-5</t>
  </si>
  <si>
    <t>RTU-6</t>
  </si>
  <si>
    <t>MUA-1</t>
  </si>
  <si>
    <t>MUA-2</t>
  </si>
  <si>
    <t>RANGE (1)</t>
  </si>
  <si>
    <t>FIRST FLOOR KITCHEN</t>
  </si>
  <si>
    <t>CELLAR KITCHEN</t>
  </si>
  <si>
    <t>OVEN (20)</t>
  </si>
  <si>
    <t>RANGE (19)</t>
  </si>
  <si>
    <t>FRYER (17)</t>
  </si>
  <si>
    <t>KETTLE (12)</t>
  </si>
  <si>
    <t>RANGE (9)</t>
  </si>
  <si>
    <t>RANGE (10)</t>
  </si>
  <si>
    <t>iEQL</t>
  </si>
  <si>
    <t>CFH</t>
  </si>
  <si>
    <t>EQUIVALENT LENGTH CHART</t>
  </si>
  <si>
    <t>CFH CHART</t>
  </si>
  <si>
    <t>http://uscarburetion.com/natural-gas-chart.htm</t>
  </si>
  <si>
    <t>RTU-7</t>
  </si>
  <si>
    <t>UNIT</t>
  </si>
  <si>
    <t>OVEN (6)(1)</t>
  </si>
  <si>
    <t>OVEN (6)(2)</t>
  </si>
  <si>
    <t>OVEN (6)(3)</t>
  </si>
  <si>
    <t>FRYER (7)(1)</t>
  </si>
  <si>
    <t>FRYER (7)(2)</t>
  </si>
  <si>
    <t>BOILER (1)</t>
  </si>
  <si>
    <t>BOILER (2)</t>
  </si>
  <si>
    <t>UNITS ABOVE</t>
  </si>
  <si>
    <t>1. Enter the fittings and quantities in the first table below.</t>
  </si>
  <si>
    <t>2. Find the equivalent length to the most remote appliance in the second table.</t>
  </si>
  <si>
    <t>APP.SIZE</t>
  </si>
  <si>
    <t>3. Enter the app.size and main.size values from the second table into the first table.</t>
  </si>
  <si>
    <t>MAIN.SIZE</t>
  </si>
  <si>
    <t>MAIN.CFH</t>
  </si>
  <si>
    <t>APP.EQL</t>
  </si>
  <si>
    <t>APP.CFH</t>
  </si>
  <si>
    <t>APPLIANCE</t>
  </si>
  <si>
    <t>Natural Gas</t>
  </si>
  <si>
    <t>∆p [in.wc.]</t>
  </si>
  <si>
    <t>Gas</t>
  </si>
  <si>
    <t>sg</t>
  </si>
  <si>
    <t>μ</t>
  </si>
  <si>
    <t>(Schedule 40 Steel Pipe)</t>
  </si>
  <si>
    <t>ft/s</t>
  </si>
  <si>
    <t>PD/100ft</t>
  </si>
  <si>
    <t>OD [in]</t>
  </si>
  <si>
    <t>T [in]</t>
  </si>
  <si>
    <t>ID [in]</t>
  </si>
  <si>
    <t>Pipe Size</t>
  </si>
  <si>
    <t>3'/100 PD, 10 fps max</t>
  </si>
  <si>
    <t>5'/100 PD, 12 fps max</t>
  </si>
  <si>
    <t>7'/100 PD, 15 fps max</t>
  </si>
  <si>
    <t>S-40 Steel</t>
  </si>
  <si>
    <t>Type K</t>
  </si>
  <si>
    <t>Type L</t>
  </si>
  <si>
    <t>Type M</t>
  </si>
  <si>
    <t>Copper</t>
  </si>
  <si>
    <t>Hourly Rainfall [in]</t>
  </si>
  <si>
    <t>Pipe Size [in]</t>
  </si>
  <si>
    <t>http://publicecodes.cyberregs.com/icod/ipc/2012/icod_ipc_2012_appb.htm</t>
  </si>
  <si>
    <t>Location</t>
  </si>
  <si>
    <t>Rainfall</t>
  </si>
  <si>
    <t>NY - Albany</t>
  </si>
  <si>
    <t>NY - Binghamton</t>
  </si>
  <si>
    <t>NY - Buffallo</t>
  </si>
  <si>
    <t>NY - Kingston</t>
  </si>
  <si>
    <t>NY - New York</t>
  </si>
  <si>
    <t>NY - Rochester</t>
  </si>
  <si>
    <t>NJ - Atlantic City</t>
  </si>
  <si>
    <t>NJ - Newark</t>
  </si>
  <si>
    <t>NJ - Trenton</t>
  </si>
  <si>
    <t>CT - Hartford</t>
  </si>
  <si>
    <t>CT - New Haven</t>
  </si>
  <si>
    <t>CT - Putnam</t>
  </si>
  <si>
    <t>FL - Jacksonville</t>
  </si>
  <si>
    <t>FL - Key West</t>
  </si>
  <si>
    <t>FL - Miami</t>
  </si>
  <si>
    <t>FL - Pensacola</t>
  </si>
  <si>
    <t>FL - Tampa</t>
  </si>
  <si>
    <t>Open Terrace/East</t>
  </si>
  <si>
    <t>Covered Loggia/East</t>
  </si>
  <si>
    <t>Open Balcony/East</t>
  </si>
  <si>
    <t>Foyer Balcony</t>
  </si>
  <si>
    <t>Open Balcony/West</t>
  </si>
  <si>
    <t>Open Terrace/West</t>
  </si>
  <si>
    <t>Open Terrance/Back Yard</t>
  </si>
  <si>
    <t>Trellised Loggia</t>
  </si>
  <si>
    <t>Grade</t>
  </si>
  <si>
    <t>Total Area [ft²]</t>
  </si>
  <si>
    <t>Area/Drain [ft²]</t>
  </si>
  <si>
    <t>Rainfall [in/hr]</t>
  </si>
  <si>
    <t>MA - Boston</t>
  </si>
  <si>
    <t>MA - Pittsfield</t>
  </si>
  <si>
    <t>MA - Worcester</t>
  </si>
  <si>
    <t>SIZE OF VERTICAL CONDUCTORS AND LEADERS</t>
  </si>
  <si>
    <t>SIZE OF HORIZONTAL STORM DRAINAGE PIPING</t>
  </si>
  <si>
    <t>Vertical Size [in]</t>
  </si>
  <si>
    <t>Conductors &amp; Leaders</t>
  </si>
  <si>
    <t>Approximate</t>
  </si>
  <si>
    <t>Accuracy</t>
  </si>
  <si>
    <t>SIZE OF SEMICIRCULAR ROOF GUTTERS</t>
  </si>
  <si>
    <t>DP.Slope [%]</t>
  </si>
  <si>
    <t>DP.Horizontal Size [in]</t>
  </si>
  <si>
    <t>Drainage Piping (DP)</t>
  </si>
  <si>
    <t>Roof Gutter (RG)</t>
  </si>
  <si>
    <t>RG.Slope [%]</t>
  </si>
  <si>
    <t>RG.Horizontal Size [in]</t>
  </si>
  <si>
    <t>XXX</t>
  </si>
  <si>
    <t>Item</t>
  </si>
  <si>
    <t>Area Name2</t>
  </si>
  <si>
    <t>STORM DRAINILATOR</t>
  </si>
  <si>
    <t>Approximate distance from Gas Meter to most remote outlet</t>
  </si>
  <si>
    <t>[ft]</t>
  </si>
  <si>
    <t>Btu/h/1000=CFH</t>
  </si>
  <si>
    <t>APP.SIZE.LL</t>
  </si>
  <si>
    <t>MAIN.SIZE.LL</t>
  </si>
  <si>
    <t>LOCATION</t>
  </si>
  <si>
    <t>1ST FLOOR KITCHEN</t>
  </si>
  <si>
    <t>APP.SIZE2</t>
  </si>
  <si>
    <t>MAIN.SIZE3</t>
  </si>
  <si>
    <t>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</si>
</sst>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"/>
    <numFmt numFmtId="165" formatCode="0.00000000"/>
    <numFmt numFmtId="166" formatCode="#\-#/#"/>
    <numFmt numFmtId="167" formatCode="yyyy/mm/dd"/>
    <numFmt numFmtId="168" formatCode="0.000"/>
    <numFmt numFmtId="169" formatCode="General\ &quot;fpm&quot;"/>
    <numFmt numFmtId="170" formatCode="0.00\ &quot;in.w.c.&quot;"/>
    <numFmt numFmtId="171" formatCode="0.0%"/>
  </numFmts>
  <fonts count="27" x14ac:knownFonts="1">
    <font>
      <sz val="11"/>
      <color theme="1"/>
      <name val="Calibri"/>
      <family val="2"/>
      <scheme val="minor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6"/>
      <name val="Comic Sans MS"/>
      <family val="4"/>
    </font>
    <font>
      <b/>
      <sz val="8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name val="Arial Black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3" fillId="0" borderId="0"/>
    <xf numFmtId="0" fontId="7" fillId="3" borderId="1" applyNumberFormat="0" applyAlignment="0" applyProtection="0"/>
    <xf numFmtId="0" fontId="8" fillId="4" borderId="1" applyNumberFormat="0" applyAlignment="0" applyProtection="0"/>
    <xf numFmtId="0" fontId="16" fillId="6" borderId="5" applyNumberFormat="0" applyFont="0" applyAlignment="0" applyProtection="0"/>
    <xf numFmtId="0" fontId="16" fillId="8" borderId="0" applyNumberFormat="0" applyBorder="0" applyAlignment="0" applyProtection="0"/>
    <xf numFmtId="43" fontId="16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88">
    <xf numFmtId="0" fontId="0" fillId="0" borderId="0" xfId="0"/>
    <xf numFmtId="0" fontId="3" fillId="0" borderId="0" xfId="1"/>
    <xf numFmtId="0" fontId="1" fillId="0" borderId="0" xfId="1" applyFont="1"/>
    <xf numFmtId="0" fontId="3" fillId="0" borderId="0" xfId="1" applyFont="1" applyFill="1" applyBorder="1" applyAlignment="1" applyProtection="1">
      <alignment horizontal="center" vertical="center"/>
      <protection locked="0"/>
    </xf>
    <xf numFmtId="165" fontId="2" fillId="0" borderId="0" xfId="1" applyNumberFormat="1" applyFont="1" applyFill="1" applyBorder="1" applyAlignment="1" applyProtection="1">
      <alignment horizontal="right" vertical="center"/>
    </xf>
    <xf numFmtId="165" fontId="2" fillId="0" borderId="0" xfId="1" applyNumberFormat="1" applyFont="1" applyFill="1" applyBorder="1" applyAlignment="1" applyProtection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0" fillId="0" borderId="0" xfId="0" applyFont="1"/>
    <xf numFmtId="0" fontId="0" fillId="2" borderId="0" xfId="0" applyFill="1"/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9" fillId="0" borderId="0" xfId="0" applyFont="1"/>
    <xf numFmtId="168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0" fontId="7" fillId="3" borderId="1" xfId="2" applyAlignment="1">
      <alignment horizontal="center" vertical="center"/>
    </xf>
    <xf numFmtId="1" fontId="8" fillId="4" borderId="1" xfId="3" applyNumberFormat="1" applyAlignment="1">
      <alignment horizontal="center" vertical="center"/>
    </xf>
    <xf numFmtId="2" fontId="8" fillId="4" borderId="1" xfId="3" applyNumberFormat="1" applyAlignment="1">
      <alignment horizontal="center" vertical="center"/>
    </xf>
    <xf numFmtId="164" fontId="7" fillId="3" borderId="1" xfId="2" applyNumberFormat="1" applyAlignment="1">
      <alignment horizontal="center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0" fontId="0" fillId="0" borderId="3" xfId="0" applyBorder="1"/>
    <xf numFmtId="0" fontId="9" fillId="0" borderId="3" xfId="0" applyFont="1" applyBorder="1" applyAlignment="1">
      <alignment horizontal="right"/>
    </xf>
    <xf numFmtId="0" fontId="0" fillId="0" borderId="0" xfId="0" applyAlignment="1">
      <alignment horizontal="center"/>
    </xf>
    <xf numFmtId="12" fontId="0" fillId="0" borderId="0" xfId="0" applyNumberFormat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0" xfId="0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14" fillId="0" borderId="0" xfId="0" applyFont="1"/>
    <xf numFmtId="2" fontId="7" fillId="3" borderId="1" xfId="2" applyNumberForma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left"/>
    </xf>
    <xf numFmtId="0" fontId="13" fillId="7" borderId="2" xfId="1" applyFont="1" applyFill="1" applyBorder="1" applyAlignment="1" applyProtection="1">
      <alignment horizontal="center" vertical="center"/>
      <protection locked="0"/>
    </xf>
    <xf numFmtId="0" fontId="17" fillId="6" borderId="5" xfId="4" applyFont="1" applyAlignment="1" applyProtection="1">
      <alignment horizontal="center" vertical="center"/>
      <protection locked="0"/>
    </xf>
    <xf numFmtId="170" fontId="17" fillId="6" borderId="5" xfId="4" applyNumberFormat="1" applyFont="1" applyAlignment="1" applyProtection="1">
      <alignment horizontal="center" vertical="center"/>
      <protection locked="0"/>
    </xf>
    <xf numFmtId="169" fontId="17" fillId="6" borderId="5" xfId="4" applyNumberFormat="1" applyFont="1" applyAlignment="1" applyProtection="1">
      <alignment horizontal="center" vertical="center"/>
      <protection locked="0"/>
    </xf>
    <xf numFmtId="0" fontId="3" fillId="6" borderId="5" xfId="4" applyFont="1" applyAlignment="1">
      <alignment horizontal="center" vertical="center"/>
    </xf>
    <xf numFmtId="164" fontId="3" fillId="6" borderId="5" xfId="4" applyNumberFormat="1" applyFont="1" applyAlignment="1">
      <alignment horizontal="center" vertical="center"/>
    </xf>
    <xf numFmtId="0" fontId="3" fillId="6" borderId="7" xfId="4" applyNumberFormat="1" applyFont="1" applyBorder="1" applyAlignment="1">
      <alignment horizontal="center" vertical="center"/>
    </xf>
    <xf numFmtId="164" fontId="3" fillId="6" borderId="7" xfId="4" applyNumberFormat="1" applyFont="1" applyBorder="1" applyAlignment="1">
      <alignment horizontal="center" vertical="center"/>
    </xf>
    <xf numFmtId="0" fontId="16" fillId="8" borderId="4" xfId="5" applyBorder="1" applyAlignment="1">
      <alignment horizontal="center" vertical="center"/>
    </xf>
    <xf numFmtId="0" fontId="16" fillId="8" borderId="6" xfId="5" applyBorder="1" applyAlignment="1">
      <alignment horizontal="center" vertical="center"/>
    </xf>
    <xf numFmtId="1" fontId="16" fillId="8" borderId="4" xfId="5" applyNumberFormat="1" applyBorder="1" applyAlignment="1">
      <alignment horizontal="center" vertical="center"/>
    </xf>
    <xf numFmtId="164" fontId="16" fillId="8" borderId="4" xfId="5" applyNumberFormat="1" applyBorder="1" applyAlignment="1">
      <alignment horizontal="center" vertical="center"/>
    </xf>
    <xf numFmtId="1" fontId="16" fillId="8" borderId="6" xfId="5" applyNumberFormat="1" applyBorder="1" applyAlignment="1">
      <alignment horizontal="center" vertical="center"/>
    </xf>
    <xf numFmtId="164" fontId="16" fillId="8" borderId="6" xfId="5" applyNumberFormat="1" applyBorder="1" applyAlignment="1">
      <alignment horizontal="center" vertical="center"/>
    </xf>
    <xf numFmtId="166" fontId="16" fillId="8" borderId="4" xfId="5" applyNumberFormat="1" applyBorder="1" applyAlignment="1">
      <alignment horizontal="center" vertical="center"/>
    </xf>
    <xf numFmtId="9" fontId="16" fillId="8" borderId="4" xfId="5" applyNumberFormat="1" applyBorder="1" applyAlignment="1">
      <alignment horizontal="center" vertical="center"/>
    </xf>
    <xf numFmtId="0" fontId="12" fillId="9" borderId="2" xfId="1" applyFont="1" applyFill="1" applyBorder="1" applyAlignment="1">
      <alignment horizontal="center"/>
    </xf>
    <xf numFmtId="165" fontId="12" fillId="9" borderId="2" xfId="1" applyNumberFormat="1" applyFont="1" applyFill="1" applyBorder="1" applyAlignment="1" applyProtection="1">
      <alignment horizontal="center" vertical="center"/>
    </xf>
    <xf numFmtId="0" fontId="13" fillId="9" borderId="2" xfId="1" applyFont="1" applyFill="1" applyBorder="1" applyAlignment="1" applyProtection="1">
      <alignment horizontal="center" vertical="center"/>
      <protection locked="0"/>
    </xf>
    <xf numFmtId="0" fontId="10" fillId="9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9" xfId="0" applyBorder="1" applyAlignment="1" applyProtection="1">
      <alignment horizontal="center" wrapText="1"/>
      <protection locked="0"/>
    </xf>
    <xf numFmtId="13" fontId="0" fillId="0" borderId="0" xfId="6" applyNumberFormat="1" applyFont="1" applyAlignment="1"/>
    <xf numFmtId="0" fontId="9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9" xfId="0" applyBorder="1" applyAlignment="1">
      <alignment horizontal="center"/>
    </xf>
    <xf numFmtId="0" fontId="9" fillId="0" borderId="0" xfId="0" applyFont="1" applyProtection="1">
      <protection locked="0"/>
    </xf>
    <xf numFmtId="1" fontId="0" fillId="8" borderId="4" xfId="5" applyNumberFormat="1" applyFont="1" applyBorder="1" applyAlignment="1">
      <alignment horizontal="center" vertical="center"/>
    </xf>
    <xf numFmtId="12" fontId="0" fillId="0" borderId="0" xfId="0" applyNumberFormat="1"/>
    <xf numFmtId="1" fontId="0" fillId="0" borderId="0" xfId="0" applyNumberFormat="1"/>
    <xf numFmtId="0" fontId="19" fillId="0" borderId="0" xfId="7"/>
    <xf numFmtId="0" fontId="0" fillId="0" borderId="0" xfId="0" applyFont="1"/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2" fontId="0" fillId="0" borderId="9" xfId="0" applyNumberFormat="1" applyBorder="1" applyAlignment="1">
      <alignment horizontal="center"/>
    </xf>
    <xf numFmtId="0" fontId="9" fillId="0" borderId="0" xfId="0" applyFont="1" applyAlignment="1">
      <alignment horizontal="left"/>
    </xf>
    <xf numFmtId="0" fontId="20" fillId="0" borderId="0" xfId="0" applyFont="1" applyProtection="1">
      <protection locked="0"/>
    </xf>
    <xf numFmtId="0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68" fontId="0" fillId="0" borderId="9" xfId="0" applyNumberFormat="1" applyBorder="1" applyAlignment="1" applyProtection="1">
      <alignment horizontal="center" wrapText="1"/>
      <protection locked="0"/>
    </xf>
    <xf numFmtId="168" fontId="0" fillId="0" borderId="9" xfId="0" applyNumberFormat="1" applyBorder="1" applyAlignment="1">
      <alignment horizontal="center"/>
    </xf>
    <xf numFmtId="168" fontId="0" fillId="0" borderId="9" xfId="0" applyNumberFormat="1" applyFill="1" applyBorder="1" applyAlignment="1" applyProtection="1">
      <alignment horizontal="center" wrapText="1"/>
      <protection locked="0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2" fontId="21" fillId="10" borderId="24" xfId="0" applyNumberFormat="1" applyFont="1" applyFill="1" applyBorder="1" applyAlignment="1">
      <alignment horizontal="left" vertical="center" indent="1"/>
    </xf>
    <xf numFmtId="168" fontId="22" fillId="0" borderId="16" xfId="0" applyNumberFormat="1" applyFont="1" applyBorder="1" applyAlignment="1">
      <alignment horizontal="left" vertical="center" indent="1"/>
    </xf>
    <xf numFmtId="168" fontId="22" fillId="0" borderId="14" xfId="0" applyNumberFormat="1" applyFont="1" applyBorder="1" applyAlignment="1">
      <alignment horizontal="left" vertical="center" indent="1"/>
    </xf>
    <xf numFmtId="168" fontId="22" fillId="0" borderId="17" xfId="0" applyNumberFormat="1" applyFont="1" applyBorder="1" applyAlignment="1">
      <alignment horizontal="left" vertical="center" indent="1"/>
    </xf>
    <xf numFmtId="164" fontId="22" fillId="0" borderId="13" xfId="0" applyNumberFormat="1" applyFont="1" applyBorder="1" applyAlignment="1">
      <alignment horizontal="left" vertical="center" indent="1"/>
    </xf>
    <xf numFmtId="164" fontId="22" fillId="0" borderId="14" xfId="0" applyNumberFormat="1" applyFont="1" applyBorder="1" applyAlignment="1">
      <alignment horizontal="left" vertical="center" indent="1"/>
    </xf>
    <xf numFmtId="0" fontId="21" fillId="11" borderId="15" xfId="0" applyFont="1" applyFill="1" applyBorder="1" applyAlignment="1">
      <alignment horizontal="left" vertical="center" indent="1"/>
    </xf>
    <xf numFmtId="164" fontId="22" fillId="0" borderId="16" xfId="0" applyNumberFormat="1" applyFont="1" applyBorder="1" applyAlignment="1">
      <alignment horizontal="left" vertical="center" indent="1"/>
    </xf>
    <xf numFmtId="0" fontId="21" fillId="11" borderId="17" xfId="0" applyFont="1" applyFill="1" applyBorder="1" applyAlignment="1">
      <alignment horizontal="left" vertical="center" indent="1"/>
    </xf>
    <xf numFmtId="0" fontId="21" fillId="12" borderId="17" xfId="0" applyFont="1" applyFill="1" applyBorder="1" applyAlignment="1">
      <alignment horizontal="left" vertical="center" indent="1"/>
    </xf>
    <xf numFmtId="2" fontId="21" fillId="10" borderId="25" xfId="0" applyNumberFormat="1" applyFont="1" applyFill="1" applyBorder="1" applyAlignment="1">
      <alignment horizontal="left" vertical="center" indent="1"/>
    </xf>
    <xf numFmtId="168" fontId="22" fillId="0" borderId="10" xfId="0" applyNumberFormat="1" applyFont="1" applyBorder="1" applyAlignment="1">
      <alignment horizontal="left" vertical="center" indent="1"/>
    </xf>
    <xf numFmtId="168" fontId="22" fillId="0" borderId="11" xfId="0" applyNumberFormat="1" applyFont="1" applyBorder="1" applyAlignment="1">
      <alignment horizontal="left" vertical="center" indent="1"/>
    </xf>
    <xf numFmtId="168" fontId="22" fillId="0" borderId="12" xfId="0" applyNumberFormat="1" applyFont="1" applyBorder="1" applyAlignment="1">
      <alignment horizontal="left" vertical="center" indent="1"/>
    </xf>
    <xf numFmtId="164" fontId="22" fillId="0" borderId="26" xfId="0" applyNumberFormat="1" applyFont="1" applyBorder="1" applyAlignment="1">
      <alignment horizontal="left" vertical="center" indent="1"/>
    </xf>
    <xf numFmtId="164" fontId="22" fillId="0" borderId="11" xfId="0" applyNumberFormat="1" applyFont="1" applyBorder="1" applyAlignment="1">
      <alignment horizontal="left" vertical="center" indent="1"/>
    </xf>
    <xf numFmtId="0" fontId="21" fillId="11" borderId="27" xfId="0" applyFont="1" applyFill="1" applyBorder="1" applyAlignment="1">
      <alignment horizontal="left" vertical="center" indent="1"/>
    </xf>
    <xf numFmtId="164" fontId="22" fillId="0" borderId="10" xfId="0" applyNumberFormat="1" applyFont="1" applyBorder="1" applyAlignment="1">
      <alignment horizontal="left" vertical="center" indent="1"/>
    </xf>
    <xf numFmtId="0" fontId="21" fillId="11" borderId="12" xfId="0" applyFont="1" applyFill="1" applyBorder="1" applyAlignment="1">
      <alignment horizontal="left" vertical="center" indent="1"/>
    </xf>
    <xf numFmtId="0" fontId="21" fillId="12" borderId="12" xfId="0" applyFont="1" applyFill="1" applyBorder="1" applyAlignment="1">
      <alignment horizontal="left" vertical="center" indent="1"/>
    </xf>
    <xf numFmtId="3" fontId="21" fillId="12" borderId="12" xfId="0" applyNumberFormat="1" applyFont="1" applyFill="1" applyBorder="1" applyAlignment="1">
      <alignment horizontal="left" vertical="center" indent="1"/>
    </xf>
    <xf numFmtId="3" fontId="21" fillId="11" borderId="27" xfId="0" applyNumberFormat="1" applyFont="1" applyFill="1" applyBorder="1" applyAlignment="1">
      <alignment horizontal="left" vertical="center" indent="1"/>
    </xf>
    <xf numFmtId="3" fontId="21" fillId="11" borderId="12" xfId="0" applyNumberFormat="1" applyFont="1" applyFill="1" applyBorder="1" applyAlignment="1">
      <alignment horizontal="left" vertical="center" indent="1"/>
    </xf>
    <xf numFmtId="2" fontId="22" fillId="0" borderId="10" xfId="0" applyNumberFormat="1" applyFont="1" applyBorder="1" applyAlignment="1">
      <alignment horizontal="left" vertical="center" indent="1"/>
    </xf>
    <xf numFmtId="2" fontId="22" fillId="0" borderId="12" xfId="0" applyNumberFormat="1" applyFont="1" applyBorder="1" applyAlignment="1">
      <alignment horizontal="left" vertical="center" indent="1"/>
    </xf>
    <xf numFmtId="1" fontId="21" fillId="12" borderId="12" xfId="0" applyNumberFormat="1" applyFont="1" applyFill="1" applyBorder="1" applyAlignment="1">
      <alignment horizontal="left" vertical="center" indent="1"/>
    </xf>
    <xf numFmtId="1" fontId="21" fillId="11" borderId="12" xfId="0" applyNumberFormat="1" applyFont="1" applyFill="1" applyBorder="1" applyAlignment="1">
      <alignment horizontal="left" vertical="center" indent="1"/>
    </xf>
    <xf numFmtId="1" fontId="21" fillId="11" borderId="27" xfId="0" applyNumberFormat="1" applyFont="1" applyFill="1" applyBorder="1" applyAlignment="1">
      <alignment horizontal="left" vertical="center" indent="1"/>
    </xf>
    <xf numFmtId="2" fontId="21" fillId="10" borderId="28" xfId="0" applyNumberFormat="1" applyFont="1" applyFill="1" applyBorder="1" applyAlignment="1">
      <alignment horizontal="left" vertical="center" indent="1"/>
    </xf>
    <xf numFmtId="2" fontId="22" fillId="0" borderId="19" xfId="0" applyNumberFormat="1" applyFont="1" applyBorder="1" applyAlignment="1">
      <alignment horizontal="left" vertical="center" indent="1"/>
    </xf>
    <xf numFmtId="168" fontId="22" fillId="0" borderId="20" xfId="0" applyNumberFormat="1" applyFont="1" applyBorder="1" applyAlignment="1">
      <alignment horizontal="left" vertical="center" indent="1"/>
    </xf>
    <xf numFmtId="2" fontId="22" fillId="0" borderId="21" xfId="0" applyNumberFormat="1" applyFont="1" applyBorder="1" applyAlignment="1">
      <alignment horizontal="left" vertical="center" indent="1"/>
    </xf>
    <xf numFmtId="164" fontId="22" fillId="0" borderId="22" xfId="0" applyNumberFormat="1" applyFont="1" applyBorder="1" applyAlignment="1">
      <alignment horizontal="left" vertical="center" indent="1"/>
    </xf>
    <xf numFmtId="164" fontId="22" fillId="0" borderId="20" xfId="0" applyNumberFormat="1" applyFont="1" applyBorder="1" applyAlignment="1">
      <alignment horizontal="left" vertical="center" indent="1"/>
    </xf>
    <xf numFmtId="1" fontId="21" fillId="11" borderId="23" xfId="0" applyNumberFormat="1" applyFont="1" applyFill="1" applyBorder="1" applyAlignment="1">
      <alignment horizontal="left" vertical="center" indent="1"/>
    </xf>
    <xf numFmtId="164" fontId="22" fillId="0" borderId="19" xfId="0" applyNumberFormat="1" applyFont="1" applyBorder="1" applyAlignment="1">
      <alignment horizontal="left" vertical="center" indent="1"/>
    </xf>
    <xf numFmtId="1" fontId="21" fillId="11" borderId="21" xfId="0" applyNumberFormat="1" applyFont="1" applyFill="1" applyBorder="1" applyAlignment="1">
      <alignment horizontal="left" vertical="center" indent="1"/>
    </xf>
    <xf numFmtId="1" fontId="21" fillId="12" borderId="21" xfId="0" applyNumberFormat="1" applyFont="1" applyFill="1" applyBorder="1" applyAlignment="1">
      <alignment horizontal="left" vertical="center" indent="1"/>
    </xf>
    <xf numFmtId="2" fontId="21" fillId="10" borderId="24" xfId="0" applyNumberFormat="1" applyFont="1" applyFill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12" borderId="17" xfId="0" applyFont="1" applyFill="1" applyBorder="1" applyAlignment="1">
      <alignment horizontal="center" vertical="center"/>
    </xf>
    <xf numFmtId="2" fontId="21" fillId="10" borderId="25" xfId="0" applyNumberFormat="1" applyFont="1" applyFill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164" fontId="22" fillId="0" borderId="26" xfId="0" applyNumberFormat="1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12" borderId="12" xfId="0" applyFont="1" applyFill="1" applyBorder="1" applyAlignment="1">
      <alignment horizontal="center" vertical="center"/>
    </xf>
    <xf numFmtId="2" fontId="21" fillId="10" borderId="28" xfId="0" applyNumberFormat="1" applyFont="1" applyFill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64" fontId="22" fillId="0" borderId="22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12" borderId="21" xfId="0" applyFont="1" applyFill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23" fillId="13" borderId="35" xfId="0" applyFont="1" applyFill="1" applyBorder="1" applyAlignment="1">
      <alignment horizontal="left" vertical="center"/>
    </xf>
    <xf numFmtId="0" fontId="23" fillId="13" borderId="35" xfId="0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0" fillId="14" borderId="35" xfId="0" applyFont="1" applyFill="1" applyBorder="1" applyAlignment="1">
      <alignment horizontal="left" vertical="center"/>
    </xf>
    <xf numFmtId="0" fontId="0" fillId="14" borderId="36" xfId="0" applyFont="1" applyFill="1" applyBorder="1" applyAlignment="1">
      <alignment horizontal="center" vertical="center"/>
    </xf>
    <xf numFmtId="9" fontId="9" fillId="0" borderId="0" xfId="0" applyNumberFormat="1" applyFont="1"/>
    <xf numFmtId="9" fontId="0" fillId="0" borderId="0" xfId="0" applyNumberFormat="1" applyAlignment="1">
      <alignment horizontal="center" vertical="center"/>
    </xf>
    <xf numFmtId="0" fontId="24" fillId="13" borderId="36" xfId="0" applyFont="1" applyFill="1" applyBorder="1" applyAlignment="1">
      <alignment horizontal="center" vertical="center"/>
    </xf>
    <xf numFmtId="0" fontId="25" fillId="14" borderId="36" xfId="0" applyFont="1" applyFill="1" applyBorder="1" applyAlignment="1">
      <alignment horizontal="center" vertical="center"/>
    </xf>
    <xf numFmtId="0" fontId="26" fillId="14" borderId="36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1" fontId="9" fillId="0" borderId="0" xfId="0" applyNumberFormat="1" applyFont="1"/>
    <xf numFmtId="171" fontId="0" fillId="0" borderId="0" xfId="0" applyNumberFormat="1" applyAlignment="1">
      <alignment horizontal="center" vertical="center"/>
    </xf>
    <xf numFmtId="0" fontId="4" fillId="0" borderId="37" xfId="1" applyFont="1" applyBorder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2" fontId="0" fillId="0" borderId="0" xfId="0" applyNumberFormat="1" applyAlignment="1">
      <alignment horizontal="left"/>
    </xf>
    <xf numFmtId="0" fontId="17" fillId="5" borderId="2" xfId="1" applyFont="1" applyFill="1" applyBorder="1" applyAlignment="1">
      <alignment horizontal="left" vertical="center"/>
    </xf>
    <xf numFmtId="0" fontId="17" fillId="5" borderId="38" xfId="1" applyFont="1" applyFill="1" applyBorder="1" applyAlignment="1">
      <alignment horizontal="left" vertical="center"/>
    </xf>
    <xf numFmtId="2" fontId="17" fillId="5" borderId="2" xfId="1" applyNumberFormat="1" applyFont="1" applyFill="1" applyBorder="1" applyAlignment="1">
      <alignment horizontal="left" vertical="center"/>
    </xf>
    <xf numFmtId="2" fontId="17" fillId="5" borderId="38" xfId="1" applyNumberFormat="1" applyFont="1" applyFill="1" applyBorder="1" applyAlignment="1">
      <alignment horizontal="left" vertical="center"/>
    </xf>
    <xf numFmtId="167" fontId="17" fillId="5" borderId="2" xfId="1" applyNumberFormat="1" applyFont="1" applyFill="1" applyBorder="1" applyAlignment="1">
      <alignment horizontal="left" vertical="center"/>
    </xf>
    <xf numFmtId="167" fontId="17" fillId="5" borderId="38" xfId="1" applyNumberFormat="1" applyFont="1" applyFill="1" applyBorder="1" applyAlignment="1">
      <alignment horizontal="left" vertical="center"/>
    </xf>
    <xf numFmtId="0" fontId="5" fillId="0" borderId="8" xfId="1" applyFont="1" applyBorder="1" applyAlignment="1">
      <alignment horizontal="left" wrapText="1"/>
    </xf>
    <xf numFmtId="0" fontId="5" fillId="0" borderId="0" xfId="1" applyFont="1" applyBorder="1" applyAlignment="1">
      <alignment horizontal="left" wrapText="1"/>
    </xf>
    <xf numFmtId="0" fontId="26" fillId="14" borderId="36" xfId="0" applyFont="1" applyFill="1" applyBorder="1" applyAlignment="1">
      <alignment horizontal="center" vertical="center"/>
    </xf>
    <xf numFmtId="0" fontId="11" fillId="0" borderId="39" xfId="1" applyFont="1" applyBorder="1" applyAlignment="1">
      <alignment horizontal="left" vertical="center" wrapText="1"/>
    </xf>
    <xf numFmtId="0" fontId="11" fillId="0" borderId="40" xfId="1" applyFont="1" applyBorder="1" applyAlignment="1">
      <alignment horizontal="left" vertical="center" wrapText="1"/>
    </xf>
    <xf numFmtId="0" fontId="11" fillId="0" borderId="41" xfId="1" applyFont="1" applyBorder="1" applyAlignment="1">
      <alignment horizontal="left" vertical="center" wrapText="1"/>
    </xf>
    <xf numFmtId="0" fontId="9" fillId="0" borderId="0" xfId="0" applyFont="1" applyBorder="1" applyAlignment="1">
      <alignment horizontal="center"/>
    </xf>
  </cellXfs>
  <cellStyles count="8">
    <cellStyle name="20% - Accent1" xfId="5" builtinId="30"/>
    <cellStyle name="Calculation" xfId="3" builtinId="22"/>
    <cellStyle name="Comma" xfId="6" builtinId="3"/>
    <cellStyle name="Hyperlink" xfId="7" builtinId="8"/>
    <cellStyle name="Input" xfId="2" builtinId="20"/>
    <cellStyle name="Normal" xfId="0" builtinId="0"/>
    <cellStyle name="Normal 2" xfId="1"/>
    <cellStyle name="Note" xfId="4" builtinId="10"/>
  </cellStyles>
  <dxfs count="145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8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numFmt numFmtId="2" formatCode="0.00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numFmt numFmtId="2" formatCode="0.00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6" formatCode="#\-#/#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24994659260841701"/>
        </patternFill>
      </fill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Medium9">
    <tableStyle name="Ductilator Table" pivot="0" count="9">
      <tableStyleElement type="wholeTable" dxfId="144"/>
      <tableStyleElement type="headerRow" dxfId="143"/>
      <tableStyleElement type="totalRow" dxfId="142"/>
      <tableStyleElement type="firstColumn" dxfId="141"/>
      <tableStyleElement type="lastColumn" dxfId="140"/>
      <tableStyleElement type="firstRowStripe" dxfId="139"/>
      <tableStyleElement type="secondRowStripe" dxfId="138"/>
      <tableStyleElement type="firstColumnStripe" dxfId="137"/>
      <tableStyleElement type="secondColumnStripe" dxfId="136"/>
    </tableStyle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9:J22" totalsRowShown="0" headerRowDxfId="122" dataDxfId="120" headerRowBorderDxfId="121">
  <autoFilter ref="A9:J22"/>
  <tableColumns count="10">
    <tableColumn id="1" name="No." dataDxfId="119" dataCellStyle="20% - Accent1">
      <calculatedColumnFormula>A9+1</calculatedColumnFormula>
    </tableColumn>
    <tableColumn id="2" name="CFM" dataDxfId="118" dataCellStyle="Note">
      <calculatedColumnFormula>115*2</calculatedColumnFormula>
    </tableColumn>
    <tableColumn id="3" name="FPM" dataDxfId="117" dataCellStyle="20% - Accent1">
      <calculatedColumnFormula>IF(E10&lt;&gt;0,IF($D$8="Round",IF($G$8="On",I10,B10)/(PI()*((E10/2)/12)^2),IF($G$8="On",I10,B10)/(Table1[[#This Row],[FA]]*G10*H10/144)),"-")</calculatedColumnFormula>
    </tableColumn>
    <tableColumn id="4" name="Calc Ø [in]" dataDxfId="116" dataCellStyle="20% - Accent1">
      <calculatedColumnFormula>IF($C$8&lt;&gt;0,IF($A$8=$B$7,ROUNDUP(((0.12326*IF($G$8="On",I10,B10)^1.82)/$B$8)^(1/4.86),1),IF($A$8=$C$7,SQRT((IF($G$8="On",I10,B10)/$C$8)/PI())*2*12,"-")),0)</calculatedColumnFormula>
    </tableColumn>
    <tableColumn id="5" name="Actual Ø [in]" dataDxfId="115" dataCellStyle="Note">
      <calculatedColumnFormula>D10</calculatedColumnFormula>
    </tableColumn>
    <tableColumn id="6" name="EQØ [in]" dataDxfId="114" dataCellStyle="20% - Accent1">
      <calculatedColumnFormula>IF(G10+H10=0,0,1.3*(G10*H10)^0.625/(G10+H10)^0.25)</calculatedColumnFormula>
    </tableColumn>
    <tableColumn id="7" name="a [in]" dataDxfId="113" dataCellStyle="Note"/>
    <tableColumn id="8" name="b [in]" dataDxfId="112" dataCellStyle="20% - Accent1">
      <calculatedColumnFormula>144*IF(SIZING="On",Table1[[#This Row],[ΣCFM]],Table1[[#This Row],[CFM]])/(G10*VELOCITY*Table1[[#This Row],[FA]])</calculatedColumnFormula>
    </tableColumn>
    <tableColumn id="9" name="ΣCFM" dataDxfId="111" dataCellStyle="20% - Accent1">
      <calculatedColumnFormula>IF(B10&lt;&gt;0,SUM($B$10:B10),0)</calculatedColumnFormula>
    </tableColumn>
    <tableColumn id="10" name="FA" dataDxfId="110" dataCellStyle="20% - Accent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9:J20" totalsRowShown="0" headerRowDxfId="109" dataDxfId="108">
  <autoFilter ref="A9:J20"/>
  <tableColumns count="10">
    <tableColumn id="1" name="Item" dataDxfId="107"/>
    <tableColumn id="11" name="Area Name2" dataDxfId="106"/>
    <tableColumn id="2" name="Total Area [ft²]" dataDxfId="105"/>
    <tableColumn id="3" name="QTY" dataDxfId="104"/>
    <tableColumn id="4" name="Area/Drain [ft²]" dataDxfId="103">
      <calculatedColumnFormula>IF($E$8="Approximate",MROUND(C10/D10,100),C10/D10)</calculatedColumnFormula>
    </tableColumn>
    <tableColumn id="5" name="Vertical Size [in]" dataDxfId="102">
      <calculatedColumnFormula>INDEX(RAINFALL_V_PIPE_SIZE,IFERROR(MATCH(E10,INDEX(RAINFALL_V_DATA,,IFERROR(MATCH($C$8,RAINFALL_V_IPH,1),0)+1*ISNA(MATCH($C$8,RAINFALL_V_IPH,0))),1),0)+1*ISNA(MATCH(E10,INDEX(RAINFALL_V_DATA,,IFERROR(MATCH($C$8,RAINFALL_V_IPH,1),0)+1*ISNA(MATCH($C$8,RAINFALL_V_IPH,0))),0)))</calculatedColumnFormula>
    </tableColumn>
    <tableColumn id="6" name="DP.Slope [%]" dataDxfId="101"/>
    <tableColumn id="7" name="DP.Horizontal Size [in]" dataDxfId="100">
      <calculatedColumnFormula>IF(Table4[[#This Row],[DP.Slope '[%']]]=1%,INDEX(RAINFALL_H1_PIPE_SIZE,IFERROR(MATCH(E10,INDEX(RAINFALL_H1_DATA,,IFERROR(MATCH($C$8,RAINFALL_H1_IPH,1),0)+1*ISNA(MATCH($C$8,RAINFALL_H1_IPH,0))),1),0)+1*ISNA(MATCH(E10,INDEX(RAINFALL_H1_DATA,,IFERROR(MATCH($C$8,RAINFALL_H1_IPH,1),0)+1*ISNA(MATCH($C$8,RAINFALL_H1_IPH,0))),0))), IF(Table4[[#This Row],[DP.Slope '[%']]]=2%,INDEX(RAINFALL_H2_PIPE_SIZE,IFERROR(MATCH(E10,INDEX(RAINFALL_H2_DATA,,IFERROR(MATCH($C$8,RAINFALL_H2_IPH,1),0)+1*ISNA(MATCH($C$8,RAINFALL_H2_IPH,0))),1),0)+1*ISNA(MATCH(E10,INDEX(RAINFALL_H2_DATA,,IFERROR(MATCH($C$8,RAINFALL_H2_IPH,1),0)+1*ISNA(MATCH($C$8,RAINFALL_H2_IPH,0))),0))),IF(Table4[[#This Row],[DP.Slope '[%']]]=4%,INDEX(RAINFALL_H4_PIPE_SIZE,IFERROR(MATCH(E10,INDEX(RAINFALL_H4_DATA,,IFERROR(MATCH($C$8,RAINFALL_H4_IPH,1),0)+1*ISNA(MATCH($C$8,RAINFALL_H4_IPH,0))),1),0)+1*ISNA(MATCH(E10,INDEX(RAINFALL_H4_DATA,,IFERROR(MATCH($C$8,RAINFALL_H4_IPH,1),0)+1*ISNA(MATCH($C$8,RAINFALL_H4_IPH,0))),0))))))</calculatedColumnFormula>
    </tableColumn>
    <tableColumn id="8" name="RG.Slope [%]" dataDxfId="99"/>
    <tableColumn id="9" name="RG.Horizontal Size [in]" dataDxfId="98">
      <calculatedColumnFormula>IF(Table4[[#This Row],[RG.Slope '[%']]]=0.5%,INDEX(RAINFALL_G1_PIPE_SIZE,IFERROR(MATCH(E10,INDEX(RAINFALL_G1_DATA,,IFERROR(MATCH($C$8,RAINFALL_G1_IPH,1),0)+1*ISNA(MATCH($C$8,RAINFALL_G1_IPH,0))),1),0)+1*ISNA(MATCH(E10,INDEX(RAINFALL_G1_DATA,,IFERROR(MATCH($C$8,RAINFALL_G1_IPH,1),0)+1*ISNA(MATCH($C$8,RAINFALL_G1_IPH,0))),0))), IF(Table4[[#This Row],[RG.Slope '[%']]]=1%,INDEX(RAINFALL_G2_PIPE_SIZE,IFERROR(MATCH(E10,INDEX(RAINFALL_G2_DATA,,IFERROR(MATCH($C$8,RAINFALL_G2_IPH,1),0)+1*ISNA(MATCH($C$8,RAINFALL_G2_IPH,0))),1),0)+1*ISNA(MATCH(E10,INDEX(RAINFALL_G2_DATA,,IFERROR(MATCH($C$8,RAINFALL_G2_IPH,1),0)+1*ISNA(MATCH($C$8,RAINFALL_G2_IPH,0))),0))),IF(Table4[[#This Row],[RG.Slope '[%']]]=2%,INDEX(RAINFALL_G3_PIPE_SIZE,IFERROR(MATCH(E10,INDEX(RAINFALL_G3_DATA,,IFERROR(MATCH($C$8,RAINFALL_G3_IPH,1),0)+1*ISNA(MATCH($C$8,RAINFALL_G3_IPH,0))),1),0)+1*ISNA(MATCH(E10,INDEX(RAINFALL_G3_DATA,,IFERROR(MATCH($C$8,RAINFALL_G3_IPH,1),0)+1*ISNA(MATCH($C$8,RAINFALL_G3_IPH,0))),0))),IF(Table4[[#This Row],[RG.Slope '[%']]]=4%,INDEX(RAINFALL_G4_PIPE_SIZE,IFERROR(MATCH(E10,INDEX(RAINFALL_G4_DATA,,IFERROR(MATCH($C$8,RAINFALL_G4_IPH,1),0)+1*ISNA(MATCH($C$8,RAINFALL_G4_IPH,0))),1),0)+1*ISNA(MATCH(E10,INDEX(RAINFALL_G4_DATA,,IFERROR(MATCH($C$8,RAINFALL_G4_IPH,1),0)+1*ISNA(MATCH($C$8,RAINFALL_G4_IPH,0))),0))))))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A121:E151" totalsRowShown="0" headerRowDxfId="97">
  <autoFilter ref="A121:E151"/>
  <tableColumns count="5">
    <tableColumn id="1" name="APPLIANCE"/>
    <tableColumn id="2" name="Size" dataDxfId="96"/>
    <tableColumn id="3" name="Fitting" dataDxfId="95"/>
    <tableColumn id="4" name="QTY" dataDxfId="94"/>
    <tableColumn id="5" name="iEQL" dataDxfId="93">
      <calculatedColumnFormula>VLOOKUP(B122, EQLC_CHART, MATCH(C122, EQLC_COLUMNS, 0), FALSE)*D122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154:H163" totalsRowShown="0" headerRowDxfId="92" dataDxfId="91">
  <autoFilter ref="A154:H163"/>
  <tableColumns count="8">
    <tableColumn id="1" name="APPLIANCE"/>
    <tableColumn id="2" name="APP.CFH" dataDxfId="90"/>
    <tableColumn id="3" name="MAIN.CFH" dataDxfId="89">
      <calculatedColumnFormula>C154+B155</calculatedColumnFormula>
    </tableColumn>
    <tableColumn id="4" name="APP.EQL" dataDxfId="88">
      <calculatedColumnFormula>SUMPRODUCT(((OFFSET($A$122,MATCH(A155,$A$122:$A$151,0)-1,0):$A$151=A155)+(OFFSET($A$122,MATCH(A155,$A$122:$A$151,0)-1,0):$A$151="MAIN"))*(OFFSET($E$122,MATCH(A155,$A$122:$A$151,0)-1,0):$E$151))</calculatedColumnFormula>
    </tableColumn>
    <tableColumn id="5" name="APP.SIZE" dataDxfId="87">
      <calculatedColumnFormula>INDEX(CFHC_PIPE_SIZE, 15-COUNTIF(INDEX(CFHC_DATA, ,18-COUNTIF(CFHC_LENGTH,"&gt;="&amp;D155)),"&gt;="&amp;B155), 1)</calculatedColumnFormula>
    </tableColumn>
    <tableColumn id="6" name="MAIN.SIZE" dataDxfId="86">
      <calculatedColumnFormula>INDEX(CFHC_PIPE_SIZE, 15-COUNTIF(INDEX(CFHC_DATA, ,18-COUNTIF(CFHC_LENGTH,"&gt;="&amp;D155)),"&gt;="&amp;C155), 1)</calculatedColumnFormula>
    </tableColumn>
    <tableColumn id="7" name="APP.SIZE.LL" dataDxfId="85">
      <calculatedColumnFormula>INDEX(CFHC_PIPE_SIZE, 15-COUNTIF(INDEX(CFHC_DATA, ,18-COUNTIF(CFHC_LENGTH,"&gt;="&amp;MAX($D:$D))),"&gt;="&amp;B155), 1)</calculatedColumnFormula>
    </tableColumn>
    <tableColumn id="8" name="MAIN.SIZE.LL" dataDxfId="84">
      <calculatedColumnFormula>INDEX(CFHC_PIPE_SIZE, 15-COUNTIF(INDEX(CFHC_DATA, ,18-COUNTIF(CFHC_LENGTH,"&gt;="&amp;MAX($D:$D))),"&gt;="&amp;C155), 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67:E172" totalsRowShown="0" headerRowDxfId="83" dataDxfId="82">
  <autoFilter ref="A167:E172"/>
  <tableColumns count="5">
    <tableColumn id="1" name="Appliance"/>
    <tableColumn id="2" name="Size" dataDxfId="81"/>
    <tableColumn id="3" name="Fitting" dataDxfId="80"/>
    <tableColumn id="4" name="QTY" dataDxfId="79"/>
    <tableColumn id="5" name="iEQL" dataDxfId="78">
      <calculatedColumnFormula>VLOOKUP(B168, EQLC_CHART, MATCH(C168, EQLC_COLUMNS, 0), FALSE)*D168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74:H176" totalsRowShown="0" headerRowDxfId="77" dataDxfId="76">
  <autoFilter ref="A174:H176"/>
  <tableColumns count="8">
    <tableColumn id="1" name="UNIT"/>
    <tableColumn id="2" name="CFH">
      <calculatedColumnFormula>C162</calculatedColumnFormula>
    </tableColumn>
    <tableColumn id="3" name="MAIN.CFH" dataDxfId="75">
      <calculatedColumnFormula>C174+B175</calculatedColumnFormula>
    </tableColumn>
    <tableColumn id="4" name="APP.EQL" dataDxfId="74">
      <calculatedColumnFormula>SUMIF($A$168:$A$172,A175,$E$168:$E$172)+SUMIF($A$168:$A$172,"MAIN",$E$168:$E$172)</calculatedColumnFormula>
    </tableColumn>
    <tableColumn id="5" name="APP.SIZE" dataDxfId="73">
      <calculatedColumnFormula>INDEX(CFHC_PIPE_SIZE, 15-COUNTIF(INDEX(CFHC_DATA, ,18-COUNTIF(CFHC_LENGTH,"&gt;="&amp;D175)),"&gt;="&amp;B175), 1)</calculatedColumnFormula>
    </tableColumn>
    <tableColumn id="6" name="MAIN.SIZE" dataDxfId="72">
      <calculatedColumnFormula>INDEX(CFHC_PIPE_SIZE, 15-COUNTIF(INDEX(CFHC_DATA, ,18-COUNTIF(CFHC_LENGTH,"&gt;="&amp;D175)),"&gt;="&amp;C175), 1)</calculatedColumnFormula>
    </tableColumn>
    <tableColumn id="7" name="APP.SIZE2" dataDxfId="71">
      <calculatedColumnFormula>INDEX(CFHC_PIPE_SIZE, 15-COUNTIF(INDEX(CFHC_DATA, ,18-COUNTIF(CFHC_LENGTH,"&gt;="&amp;MAX($D:$D))),"&gt;="&amp;B175), 1)</calculatedColumnFormula>
    </tableColumn>
    <tableColumn id="8" name="MAIN.SIZE3" dataDxfId="70">
      <calculatedColumnFormula>INDEX(CFHC_PIPE_SIZE, 15-COUNTIF(INDEX(CFHC_DATA, ,18-COUNTIF(CFHC_LENGTH,"&gt;="&amp;MAX($D:$D))),"&gt;="&amp;C175), 1)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A180:E221" totalsRowShown="0" headerRowDxfId="69" dataDxfId="68">
  <autoFilter ref="A180:E221"/>
  <tableColumns count="5">
    <tableColumn id="1" name="Appliance" dataDxfId="67"/>
    <tableColumn id="2" name="Size" dataDxfId="66"/>
    <tableColumn id="3" name="Fitting" dataDxfId="65"/>
    <tableColumn id="4" name="QTY" dataDxfId="64"/>
    <tableColumn id="5" name="iEQL" dataDxfId="63">
      <calculatedColumnFormula>VLOOKUP(B181, EQLC_CHART, MATCH(C181, EQLC_COLUMNS, 0), FALSE)*D181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e10" displayName="Table10" ref="A224:H238" totalsRowShown="0" headerRowDxfId="62" dataDxfId="61">
  <autoFilter ref="A224:H238"/>
  <tableColumns count="8">
    <tableColumn id="1" name="UNIT" dataDxfId="60"/>
    <tableColumn id="2" name="CFH" dataDxfId="59"/>
    <tableColumn id="3" name="MAIN.CFH" dataDxfId="58">
      <calculatedColumnFormula>C224+B225</calculatedColumnFormula>
    </tableColumn>
    <tableColumn id="4" name="APP.EQL" dataDxfId="57">
      <calculatedColumnFormula>SUMIF($A$181:$A$221,A225,$E$181:$E$221)+SUMIF($A$181:$A$221,"MAIN",$E$181:$E$221)</calculatedColumnFormula>
    </tableColumn>
    <tableColumn id="5" name="APP.SIZE" dataDxfId="56">
      <calculatedColumnFormula>INDEX(CFHC_PIPE_SIZE, 15-COUNTIF(INDEX(CFHC_DATA, ,18-COUNTIF(CFHC_LENGTH,"&gt;="&amp;D225)),"&gt;="&amp;B225), 1)</calculatedColumnFormula>
    </tableColumn>
    <tableColumn id="6" name="MAIN.SIZE" dataDxfId="55">
      <calculatedColumnFormula>INDEX(CFHC_PIPE_SIZE, 15-COUNTIF(INDEX(CFHC_DATA, ,18-COUNTIF(CFHC_LENGTH,"&gt;="&amp;D225)),"&gt;="&amp;C225), 1)</calculatedColumnFormula>
    </tableColumn>
    <tableColumn id="7" name="APP.SIZE2" dataDxfId="54">
      <calculatedColumnFormula>INDEX(CFHC_PIPE_SIZE, 15-COUNTIF(INDEX(CFHC_DATA, ,18-COUNTIF(CFHC_LENGTH,"&gt;="&amp;MAX($D:$D))),"&gt;="&amp;B225), 1)</calculatedColumnFormula>
    </tableColumn>
    <tableColumn id="8" name="MAIN.SIZE3" dataDxfId="53">
      <calculatedColumnFormula>INDEX(CFHC_PIPE_SIZE, 15-COUNTIF(INDEX(CFHC_DATA, ,18-COUNTIF(CFHC_LENGTH,"&gt;="&amp;MAX($D:$D))),"&gt;="&amp;C225), 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512" displayName="Table512" ref="A36:F112" totalsRowShown="0" headerRowDxfId="52">
  <autoFilter ref="A36:F112"/>
  <tableColumns count="6">
    <tableColumn id="1" name="Location"/>
    <tableColumn id="2" name="APPLIANCE" dataDxfId="51"/>
    <tableColumn id="3" name="Size" dataDxfId="50"/>
    <tableColumn id="4" name="Fitting" dataDxfId="49"/>
    <tableColumn id="5" name="QTY" dataDxfId="48"/>
    <tableColumn id="6" name="iEQL" dataDxfId="47">
      <calculatedColumnFormula>VLOOKUP(C37, EQLC_CHART, MATCH(D37, EQLC_COLUMNS, 0), FALSE)*E37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able613" displayName="Table613" ref="H36:P59" totalsRowShown="0" headerRowDxfId="46" dataDxfId="45">
  <autoFilter ref="H36:P59"/>
  <tableColumns count="9">
    <tableColumn id="1" name="Location"/>
    <tableColumn id="9" name="APPLIANCE"/>
    <tableColumn id="2" name="APP.CFH" dataDxfId="44"/>
    <tableColumn id="3" name="MAIN.CFH" dataDxfId="43">
      <calculatedColumnFormula>IF(H37=H36,J37+K36,J37)</calculatedColumnFormula>
    </tableColumn>
    <tableColumn id="4" name="APP.EQL" dataDxfId="42">
      <calculatedColumnFormula>SUMPRODUCT(((OFFSET($B$37,MATCH(I37,$B$37:$B$112,0)-1,0):$B$112=I37)+(OFFSET($B$37,MATCH(I37,$B$37:$B$112,0)-1,0):$B$112="MAIN"))*(OFFSET($F$37,MATCH(I37,$B$37:$B$112,0)-1,0):$F$112))</calculatedColumnFormula>
    </tableColumn>
    <tableColumn id="5" name="APP.SIZE" dataDxfId="41">
      <calculatedColumnFormula>INDEX(CFHC_PIPE_SIZE, 15-COUNTIF(INDEX(CFHC_DATA, ,18-COUNTIF(CFHC_LENGTH,"&gt;="&amp;L37)),"&gt;="&amp;J37), 1)</calculatedColumnFormula>
    </tableColumn>
    <tableColumn id="6" name="MAIN.SIZE" dataDxfId="40">
      <calculatedColumnFormula>INDEX(CFHC_PIPE_SIZE, 15-COUNTIF(INDEX(CFHC_DATA, ,18-COUNTIF(CFHC_LENGTH,"&gt;="&amp;L37)),"&gt;="&amp;K37), 1)</calculatedColumnFormula>
    </tableColumn>
    <tableColumn id="7" name="APP.SIZE.LL" dataDxfId="39">
      <calculatedColumnFormula>INDEX(CFHC_PIPE_SIZE, 15-COUNTIF(INDEX(CFHC_DATA, ,18-COUNTIF(CFHC_LENGTH,"&gt;="&amp;MAX($D:$D))),"&gt;="&amp;J37), 1)</calculatedColumnFormula>
    </tableColumn>
    <tableColumn id="8" name="MAIN.SIZE.LL" dataDxfId="38">
      <calculatedColumnFormula>INDEX(CFHC_PIPE_SIZE, 15-COUNTIF(INDEX(CFHC_DATA, ,18-COUNTIF(CFHC_LENGTH,"&gt;="&amp;MAX($D:$D))),"&gt;="&amp;K37), 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A12:U13" totalsRowShown="0" headerRowDxfId="31" dataDxfId="30" dataCellStyle="Calculation">
  <tableColumns count="21">
    <tableColumn id="1" name="Duct Element" dataDxfId="29" dataCellStyle="Input"/>
    <tableColumn id="2" name="Duct Type" dataDxfId="28" dataCellStyle="Input"/>
    <tableColumn id="3" name="Transition_x000a_Angle" dataDxfId="27" dataCellStyle="Input"/>
    <tableColumn id="4" name="ASHRAE_x000a_Fitting No." dataDxfId="26" dataCellStyle="Input"/>
    <tableColumn id="5" name="[CFM]" dataDxfId="25" dataCellStyle="Input"/>
    <tableColumn id="6" name="W1 [in]" dataDxfId="24" dataCellStyle="Input"/>
    <tableColumn id="7" name="H1 [in]" dataDxfId="23" dataCellStyle="Input"/>
    <tableColumn id="8" name="D1[in]" dataDxfId="22" dataCellStyle="Input">
      <calculatedColumnFormula>1.3*(F13*G13)^0.625/(F13+G13)^0.25</calculatedColumnFormula>
    </tableColumn>
    <tableColumn id="9" name="A1[in]" dataDxfId="21" dataCellStyle="Input">
      <calculatedColumnFormula>IF(B13="Round",PI()*(H13/2)^2,F13*G13)</calculatedColumnFormula>
    </tableColumn>
    <tableColumn id="10" name="W2 [in]" dataDxfId="20" dataCellStyle="Input"/>
    <tableColumn id="11" name="H2 [in]" dataDxfId="19" dataCellStyle="Input"/>
    <tableColumn id="12" name="D2[in]" dataDxfId="18" dataCellStyle="Input">
      <calculatedColumnFormula>1.3*(J13*K13)^0.625/(J13+K13)^0.25</calculatedColumnFormula>
    </tableColumn>
    <tableColumn id="13" name="A2[in]" dataDxfId="17" dataCellStyle="Input">
      <calculatedColumnFormula>IF(B13="Round",PI()*(L13/2)^2,J13*K13)</calculatedColumnFormula>
    </tableColumn>
    <tableColumn id="14" name="A1/A2" dataDxfId="16" dataCellStyle="Input">
      <calculatedColumnFormula>I13/M13</calculatedColumnFormula>
    </tableColumn>
    <tableColumn id="15" name="H/W" dataDxfId="15" dataCellStyle="Input">
      <calculatedColumnFormula>G13/F13</calculatedColumnFormula>
    </tableColumn>
    <tableColumn id="16" name="L [ft]" dataDxfId="14" dataCellStyle="Input"/>
    <tableColumn id="17" name="V [FPM]" dataDxfId="13" dataCellStyle="Calculation">
      <calculatedColumnFormula>E13*144/(IF(G13=0,(3.14*(F13^2)/4),(F13*G13)))</calculatedColumnFormula>
    </tableColumn>
    <tableColumn id="18" name="VP [in.w.c.]" dataDxfId="12" dataCellStyle="Calculation">
      <calculatedColumnFormula>0.075*((Q13/1097)^2)</calculatedColumnFormula>
    </tableColumn>
    <tableColumn id="19" name="C" dataDxfId="11"/>
    <tableColumn id="20" name="PL [in.w.c.]" dataDxfId="10" dataCellStyle="Calculation">
      <calculatedColumnFormula>(0.0000000039)*POWER(Q13,2.43)*100/POWER(E13,0.61)</calculatedColumnFormula>
    </tableColumn>
    <tableColumn id="21" name="PT [in.w.c]" dataDxfId="9" dataCellStyle="Calculation">
      <calculatedColumnFormula>IF(P13=0,(R13*S13),(P13*T13/100))</calculatedColumnFormula>
    </tableColumn>
  </tableColumns>
  <tableStyleInfo name="Ductilator Table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A1:J97" totalsRowShown="0" headerRowDxfId="8" dataDxfId="7">
  <autoFilter ref="A1:J97"/>
  <tableColumns count="10">
    <tableColumn id="1" name="Type"/>
    <tableColumn id="2" name="ASHRAE FITTING #"/>
    <tableColumn id="3" name="ASHRAE Description"/>
    <tableColumn id="4" name="Diameter, A0/A1, H/W" dataDxfId="6"/>
    <tableColumn id="5" name="0.00" dataDxfId="5"/>
    <tableColumn id="6" name="15.00" dataDxfId="4"/>
    <tableColumn id="7" name="30.00" dataDxfId="3"/>
    <tableColumn id="8" name="45.00" dataDxfId="2"/>
    <tableColumn id="9" name="60.00" dataDxfId="1"/>
    <tableColumn id="10" name="IMG" dataDxfId="0">
      <calculatedColumnFormula>Table2[[#This Row],[ASHRAE FITTING '#]]&amp;".jpg"</calculatedColumnFormula>
    </tableColumn>
  </tableColumns>
  <tableStyleInfo name="Ductilator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publicecodes.cyberregs.com/icod/ipc/2012/icod_ipc_2012_app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uscarburetion.com/natural-gas-chart.htm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J5"/>
  <sheetViews>
    <sheetView workbookViewId="0">
      <selection activeCell="B3" sqref="B3:J3"/>
    </sheetView>
  </sheetViews>
  <sheetFormatPr defaultRowHeight="15" x14ac:dyDescent="0.25"/>
  <sheetData>
    <row r="2" spans="1:10" x14ac:dyDescent="0.25">
      <c r="A2" s="171" t="s">
        <v>6</v>
      </c>
      <c r="B2" s="175" t="s">
        <v>274</v>
      </c>
      <c r="C2" s="175"/>
      <c r="D2" s="175"/>
      <c r="E2" s="175"/>
      <c r="F2" s="175"/>
      <c r="G2" s="175"/>
      <c r="H2" s="175"/>
      <c r="I2" s="175"/>
      <c r="J2" s="176"/>
    </row>
    <row r="3" spans="1:10" x14ac:dyDescent="0.25">
      <c r="A3" s="171" t="s">
        <v>5</v>
      </c>
      <c r="B3" s="177">
        <v>2015196</v>
      </c>
      <c r="C3" s="177"/>
      <c r="D3" s="177"/>
      <c r="E3" s="177"/>
      <c r="F3" s="177"/>
      <c r="G3" s="177"/>
      <c r="H3" s="177"/>
      <c r="I3" s="177"/>
      <c r="J3" s="178"/>
    </row>
    <row r="4" spans="1:10" x14ac:dyDescent="0.25">
      <c r="A4" s="171" t="s">
        <v>4</v>
      </c>
      <c r="B4" s="175" t="s">
        <v>3</v>
      </c>
      <c r="C4" s="175"/>
      <c r="D4" s="175"/>
      <c r="E4" s="175"/>
      <c r="F4" s="175"/>
      <c r="G4" s="175"/>
      <c r="H4" s="175"/>
      <c r="I4" s="175"/>
      <c r="J4" s="176"/>
    </row>
    <row r="5" spans="1:10" x14ac:dyDescent="0.25">
      <c r="A5" s="171" t="s">
        <v>2</v>
      </c>
      <c r="B5" s="179">
        <f ca="1">TODAY()</f>
        <v>42430</v>
      </c>
      <c r="C5" s="179"/>
      <c r="D5" s="179"/>
      <c r="E5" s="179"/>
      <c r="F5" s="179"/>
      <c r="G5" s="179"/>
      <c r="H5" s="179"/>
      <c r="I5" s="179"/>
      <c r="J5" s="180"/>
    </row>
  </sheetData>
  <mergeCells count="4">
    <mergeCell ref="B2:J2"/>
    <mergeCell ref="B3:J3"/>
    <mergeCell ref="B4:J4"/>
    <mergeCell ref="B5:J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22"/>
  <sheetViews>
    <sheetView tabSelected="1" view="pageBreakPreview" zoomScaleSheetLayoutView="100" workbookViewId="0">
      <selection activeCell="G11" sqref="G11"/>
    </sheetView>
  </sheetViews>
  <sheetFormatPr defaultRowHeight="12.75" x14ac:dyDescent="0.2"/>
  <cols>
    <col min="1" max="1" width="9.5703125" style="1" bestFit="1" customWidth="1"/>
    <col min="2" max="2" width="9.7109375" style="1" customWidth="1"/>
    <col min="3" max="3" width="9.5703125" style="1" bestFit="1" customWidth="1"/>
    <col min="4" max="4" width="15" style="1" bestFit="1" customWidth="1"/>
    <col min="5" max="5" width="16.7109375" style="1" bestFit="1" customWidth="1"/>
    <col min="6" max="6" width="13" style="1" bestFit="1" customWidth="1"/>
    <col min="7" max="8" width="10.140625" style="1" bestFit="1" customWidth="1"/>
    <col min="9" max="9" width="10.7109375" style="1" bestFit="1" customWidth="1"/>
    <col min="10" max="10" width="8" style="1" bestFit="1" customWidth="1"/>
    <col min="11" max="16384" width="9.140625" style="1"/>
  </cols>
  <sheetData>
    <row r="1" spans="1:10" ht="49.5" customHeight="1" x14ac:dyDescent="0.5">
      <c r="A1" s="181" t="s">
        <v>51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x14ac:dyDescent="0.2">
      <c r="A2" s="171" t="s">
        <v>6</v>
      </c>
      <c r="B2" s="175" t="str">
        <f>'Project Information'!B2:J2</f>
        <v>XXX</v>
      </c>
      <c r="C2" s="175"/>
      <c r="D2" s="175"/>
      <c r="E2" s="175"/>
      <c r="F2" s="175"/>
      <c r="G2" s="175"/>
      <c r="H2" s="175"/>
      <c r="I2" s="175"/>
      <c r="J2" s="176"/>
    </row>
    <row r="3" spans="1:10" x14ac:dyDescent="0.2">
      <c r="A3" s="171" t="s">
        <v>5</v>
      </c>
      <c r="B3" s="177">
        <f>'Project Information'!B3:J3</f>
        <v>2015196</v>
      </c>
      <c r="C3" s="177"/>
      <c r="D3" s="177"/>
      <c r="E3" s="177"/>
      <c r="F3" s="177"/>
      <c r="G3" s="177"/>
      <c r="H3" s="177"/>
      <c r="I3" s="177"/>
      <c r="J3" s="178"/>
    </row>
    <row r="4" spans="1:10" x14ac:dyDescent="0.2">
      <c r="A4" s="171" t="s">
        <v>4</v>
      </c>
      <c r="B4" s="175" t="str">
        <f>'Project Information'!B4:J4</f>
        <v>RCR</v>
      </c>
      <c r="C4" s="175"/>
      <c r="D4" s="175"/>
      <c r="E4" s="175"/>
      <c r="F4" s="175"/>
      <c r="G4" s="175"/>
      <c r="H4" s="175"/>
      <c r="I4" s="175"/>
      <c r="J4" s="176"/>
    </row>
    <row r="5" spans="1:10" x14ac:dyDescent="0.2">
      <c r="A5" s="171" t="s">
        <v>2</v>
      </c>
      <c r="B5" s="179">
        <f ca="1">'Project Information'!B5:J5</f>
        <v>42430</v>
      </c>
      <c r="C5" s="179"/>
      <c r="D5" s="179"/>
      <c r="E5" s="179"/>
      <c r="F5" s="179"/>
      <c r="G5" s="179"/>
      <c r="H5" s="179"/>
      <c r="I5" s="179"/>
      <c r="J5" s="180"/>
    </row>
    <row r="6" spans="1:10" x14ac:dyDescent="0.2">
      <c r="B6" s="5"/>
      <c r="C6" s="4"/>
      <c r="D6" s="4"/>
      <c r="E6" s="3"/>
      <c r="F6" s="2"/>
      <c r="G6" s="3"/>
      <c r="H6" s="3"/>
    </row>
    <row r="7" spans="1:10" x14ac:dyDescent="0.2">
      <c r="A7" s="54" t="s">
        <v>12</v>
      </c>
      <c r="B7" s="55" t="s">
        <v>14</v>
      </c>
      <c r="C7" s="55" t="s">
        <v>13</v>
      </c>
      <c r="D7" s="55" t="s">
        <v>15</v>
      </c>
      <c r="E7" s="55" t="s">
        <v>17</v>
      </c>
      <c r="F7" s="55" t="s">
        <v>54</v>
      </c>
      <c r="G7" s="55" t="s">
        <v>133</v>
      </c>
      <c r="H7" s="56"/>
      <c r="I7" s="56"/>
      <c r="J7" s="56"/>
    </row>
    <row r="8" spans="1:10" x14ac:dyDescent="0.2">
      <c r="A8" s="39" t="s">
        <v>13</v>
      </c>
      <c r="B8" s="40">
        <v>0.1</v>
      </c>
      <c r="C8" s="41">
        <v>2000</v>
      </c>
      <c r="D8" s="39" t="s">
        <v>16</v>
      </c>
      <c r="E8" s="39" t="s">
        <v>287</v>
      </c>
      <c r="F8" s="39" t="s">
        <v>55</v>
      </c>
      <c r="G8" s="39" t="s">
        <v>139</v>
      </c>
      <c r="H8" s="38"/>
      <c r="I8" s="38"/>
      <c r="J8" s="38"/>
    </row>
    <row r="9" spans="1:10" x14ac:dyDescent="0.2">
      <c r="A9" s="57" t="s">
        <v>52</v>
      </c>
      <c r="B9" s="57" t="s">
        <v>1</v>
      </c>
      <c r="C9" s="57" t="s">
        <v>0</v>
      </c>
      <c r="D9" s="57" t="s">
        <v>11</v>
      </c>
      <c r="E9" s="57" t="s">
        <v>10</v>
      </c>
      <c r="F9" s="57" t="s">
        <v>9</v>
      </c>
      <c r="G9" s="57" t="s">
        <v>7</v>
      </c>
      <c r="H9" s="57" t="s">
        <v>8</v>
      </c>
      <c r="I9" s="57" t="s">
        <v>134</v>
      </c>
      <c r="J9" s="57" t="s">
        <v>135</v>
      </c>
    </row>
    <row r="10" spans="1:10" ht="15" x14ac:dyDescent="0.2">
      <c r="A10" s="46">
        <v>1</v>
      </c>
      <c r="B10" s="42">
        <v>6000</v>
      </c>
      <c r="C10" s="48">
        <f>IF(E10&lt;&gt;0,IF($D$8="Round",IF($G$8="On",I10,B10)/(PI()*((E10/2)/12)^2),IF($G$8="On",I10,B10)/(Table1[[#This Row],[FA]]*G10*H10/144)),"-")</f>
        <v>2000</v>
      </c>
      <c r="D10" s="49">
        <f>IF($C$8&lt;&gt;0,IF($A$8=$B$7,ROUNDUP(((0.12326*IF($G$8="On",I10,B10)^1.82)/$B$8)^(1/4.86),1),IF($A$8=$C$7,SQRT((IF($G$8="On",I10,B10)/$C$8)/PI())*2*12,"-")),0)</f>
        <v>23.452920571340158</v>
      </c>
      <c r="E10" s="43">
        <f t="shared" ref="E10:E22" si="0">D10</f>
        <v>23.452920571340158</v>
      </c>
      <c r="F10" s="49">
        <f>IF(G10+H10=0,0,1.3*(G10*H10)^0.625/(G10+H10)^0.25)</f>
        <v>22.662528927980148</v>
      </c>
      <c r="G10" s="42">
        <v>24</v>
      </c>
      <c r="H10" s="52">
        <f>144*IF(SIZING="On",Table1[[#This Row],[ΣCFM]],Table1[[#This Row],[CFM]])/(G10*VELOCITY*Table1[[#This Row],[FA]])</f>
        <v>18</v>
      </c>
      <c r="I10" s="48">
        <f>IF(B10&lt;&gt;0,SUM($B$10:B10),0)</f>
        <v>6000</v>
      </c>
      <c r="J10" s="53">
        <v>1</v>
      </c>
    </row>
    <row r="11" spans="1:10" ht="15" x14ac:dyDescent="0.2">
      <c r="A11" s="46">
        <f t="shared" ref="A11:A13" si="1">A10+1</f>
        <v>2</v>
      </c>
      <c r="B11" s="42">
        <v>45</v>
      </c>
      <c r="C11" s="48">
        <f>IF(E11&lt;&gt;0,IF($D$8="Round",IF($G$8="On",I11,B11)/(PI()*((E11/2)/12)^2),IF($G$8="On",I11,B11)/(Table1[[#This Row],[FA]]*G11*H11/144)),"-")</f>
        <v>1999.9999999999998</v>
      </c>
      <c r="D11" s="49">
        <f t="shared" ref="D11:D13" si="2">IF($C$8&lt;&gt;0,IF($A$8=$B$7,ROUNDUP(((0.12326*IF($G$8="On",I11,B11)^1.82)/$B$8)^(1/4.86),1),IF($A$8=$C$7,SQRT((IF($G$8="On",I11,B11)/$C$8)/PI())*2*12,"-")),0)</f>
        <v>2.0310825007719226</v>
      </c>
      <c r="E11" s="43">
        <f t="shared" si="0"/>
        <v>2.0310825007719226</v>
      </c>
      <c r="F11" s="49">
        <f t="shared" ref="F11:F12" si="3">IF(G11+H11=0,0,1.3*(G11*H11)^0.625/(G11+H11)^0.25)</f>
        <v>1.3954743536716967</v>
      </c>
      <c r="G11" s="42">
        <v>14</v>
      </c>
      <c r="H11" s="52">
        <f>144*IF(SIZING="On",Table1[[#This Row],[ΣCFM]],Table1[[#This Row],[CFM]])/(G11*VELOCITY*Table1[[#This Row],[FA]])</f>
        <v>0.23142857142857143</v>
      </c>
      <c r="I11" s="48">
        <f>IF(B11&lt;&gt;0,SUM($B$10:B11),0)</f>
        <v>6045</v>
      </c>
      <c r="J11" s="53">
        <v>1</v>
      </c>
    </row>
    <row r="12" spans="1:10" ht="15" x14ac:dyDescent="0.2">
      <c r="A12" s="46">
        <f t="shared" si="1"/>
        <v>3</v>
      </c>
      <c r="B12" s="42">
        <v>75</v>
      </c>
      <c r="C12" s="48">
        <f>IF(E12&lt;&gt;0,IF($D$8="Round",IF($G$8="On",I12,B12)/(PI()*((E12/2)/12)^2),IF($G$8="On",I12,B12)/(Table1[[#This Row],[FA]]*G12*H12/144)),"-")</f>
        <v>1999.9999999999998</v>
      </c>
      <c r="D12" s="49">
        <f t="shared" si="2"/>
        <v>2.6221162334209898</v>
      </c>
      <c r="E12" s="43">
        <f t="shared" si="0"/>
        <v>2.6221162334209898</v>
      </c>
      <c r="F12" s="49">
        <f t="shared" si="3"/>
        <v>2.4524547708345605</v>
      </c>
      <c r="G12" s="42">
        <v>4</v>
      </c>
      <c r="H12" s="52">
        <f>144*IF(SIZING="On",Table1[[#This Row],[ΣCFM]],Table1[[#This Row],[CFM]])/(G12*VELOCITY*Table1[[#This Row],[FA]])</f>
        <v>1.35</v>
      </c>
      <c r="I12" s="48">
        <f>IF(B12&lt;&gt;0,SUM($B$10:B12),0)</f>
        <v>6120</v>
      </c>
      <c r="J12" s="53">
        <v>1</v>
      </c>
    </row>
    <row r="13" spans="1:10" ht="15" x14ac:dyDescent="0.2">
      <c r="A13" s="46">
        <f t="shared" si="1"/>
        <v>4</v>
      </c>
      <c r="B13" s="42">
        <v>75</v>
      </c>
      <c r="C13" s="48">
        <f>IF(E13&lt;&gt;0,IF($D$8="Round",IF($G$8="On",I13,B13)/(PI()*((E13/2)/12)^2),IF($G$8="On",I13,B13)/(Table1[[#This Row],[FA]]*G13*H13/144)),"-")</f>
        <v>1999.9999999999998</v>
      </c>
      <c r="D13" s="49">
        <f t="shared" si="2"/>
        <v>2.6221162334209898</v>
      </c>
      <c r="E13" s="43">
        <f t="shared" si="0"/>
        <v>2.6221162334209898</v>
      </c>
      <c r="F13" s="49">
        <f t="shared" ref="F13" si="4">IF(G13+H13=0,0,1.3*(G13*H13)^0.625/(G13+H13)^0.25)</f>
        <v>2.3013208887575405</v>
      </c>
      <c r="G13" s="42">
        <v>6</v>
      </c>
      <c r="H13" s="52">
        <f>144*IF(SIZING="On",Table1[[#This Row],[ΣCFM]],Table1[[#This Row],[CFM]])/(G13*VELOCITY*Table1[[#This Row],[FA]])</f>
        <v>0.9</v>
      </c>
      <c r="I13" s="48">
        <f>IF(B13&lt;&gt;0,SUM($B$10:B13),0)</f>
        <v>6195</v>
      </c>
      <c r="J13" s="53">
        <v>1</v>
      </c>
    </row>
    <row r="14" spans="1:10" ht="15" x14ac:dyDescent="0.2">
      <c r="A14" s="46">
        <f t="shared" ref="A14:A21" si="5">A13+1</f>
        <v>5</v>
      </c>
      <c r="B14" s="42">
        <v>45</v>
      </c>
      <c r="C14" s="48">
        <f>IF(E14&lt;&gt;0,IF($D$8="Round",IF($G$8="On",I14,B14)/(PI()*((E14/2)/12)^2),IF($G$8="On",I14,B14)/(Table1[[#This Row],[FA]]*G14*H14/144)),"-")</f>
        <v>1999.9999999999998</v>
      </c>
      <c r="D14" s="49">
        <f t="shared" ref="D14:D17" si="6">IF($C$8&lt;&gt;0,IF($A$8=$B$7,ROUNDUP(((0.12326*IF($G$8="On",I14,B14)^1.82)/$B$8)^(1/4.86),1),IF($A$8=$C$7,SQRT((IF($G$8="On",I14,B14)/$C$8)/PI())*2*12,"-")),0)</f>
        <v>2.0310825007719226</v>
      </c>
      <c r="E14" s="43">
        <f t="shared" si="0"/>
        <v>2.0310825007719226</v>
      </c>
      <c r="F14" s="49">
        <f t="shared" ref="F14:F17" si="7">IF(G14+H14=0,0,1.3*(G14*H14)^0.625/(G14+H14)^0.25)</f>
        <v>1.6948823090413647</v>
      </c>
      <c r="G14" s="42">
        <v>6</v>
      </c>
      <c r="H14" s="52">
        <f>144*IF(SIZING="On",Table1[[#This Row],[ΣCFM]],Table1[[#This Row],[CFM]])/(G14*VELOCITY*Table1[[#This Row],[FA]])</f>
        <v>0.54</v>
      </c>
      <c r="I14" s="48">
        <f>IF(B14&lt;&gt;0,SUM($B$10:B14),0)</f>
        <v>6240</v>
      </c>
      <c r="J14" s="53">
        <v>1</v>
      </c>
    </row>
    <row r="15" spans="1:10" ht="15" x14ac:dyDescent="0.2">
      <c r="A15" s="46">
        <f t="shared" si="5"/>
        <v>6</v>
      </c>
      <c r="B15" s="42"/>
      <c r="C15" s="48" t="str">
        <f>IF(E15&lt;&gt;0,IF($D$8="Round",IF($G$8="On",I15,B15)/(PI()*((E15/2)/12)^2),IF($G$8="On",I15,B15)/(Table1[[#This Row],[FA]]*G15*H15/144)),"-")</f>
        <v>-</v>
      </c>
      <c r="D15" s="49">
        <f t="shared" si="6"/>
        <v>0</v>
      </c>
      <c r="E15" s="43">
        <f t="shared" si="0"/>
        <v>0</v>
      </c>
      <c r="F15" s="49">
        <f t="shared" si="7"/>
        <v>0</v>
      </c>
      <c r="G15" s="42">
        <v>1</v>
      </c>
      <c r="H15" s="52">
        <f>144*IF(SIZING="On",Table1[[#This Row],[ΣCFM]],Table1[[#This Row],[CFM]])/(G15*VELOCITY*Table1[[#This Row],[FA]])</f>
        <v>0</v>
      </c>
      <c r="I15" s="48">
        <f>IF(B15&lt;&gt;0,SUM($B$10:B15),0)</f>
        <v>0</v>
      </c>
      <c r="J15" s="53">
        <v>1</v>
      </c>
    </row>
    <row r="16" spans="1:10" ht="15" x14ac:dyDescent="0.2">
      <c r="A16" s="46">
        <f t="shared" si="5"/>
        <v>7</v>
      </c>
      <c r="B16" s="42"/>
      <c r="C16" s="48" t="str">
        <f>IF(E16&lt;&gt;0,IF($D$8="Round",IF($G$8="On",I16,B16)/(PI()*((E16/2)/12)^2),IF($G$8="On",I16,B16)/(Table1[[#This Row],[FA]]*G16*H16/144)),"-")</f>
        <v>-</v>
      </c>
      <c r="D16" s="49">
        <f t="shared" si="6"/>
        <v>0</v>
      </c>
      <c r="E16" s="43">
        <f t="shared" si="0"/>
        <v>0</v>
      </c>
      <c r="F16" s="49">
        <f t="shared" si="7"/>
        <v>0</v>
      </c>
      <c r="G16" s="42">
        <v>1</v>
      </c>
      <c r="H16" s="52">
        <f>144*IF(SIZING="On",Table1[[#This Row],[ΣCFM]],Table1[[#This Row],[CFM]])/(G16*VELOCITY*Table1[[#This Row],[FA]])</f>
        <v>0</v>
      </c>
      <c r="I16" s="48">
        <f>IF(B16&lt;&gt;0,SUM($B$10:B16),0)</f>
        <v>0</v>
      </c>
      <c r="J16" s="53">
        <v>1</v>
      </c>
    </row>
    <row r="17" spans="1:10" ht="15" x14ac:dyDescent="0.2">
      <c r="A17" s="46">
        <f t="shared" si="5"/>
        <v>8</v>
      </c>
      <c r="B17" s="42"/>
      <c r="C17" s="48" t="str">
        <f>IF(E17&lt;&gt;0,IF($D$8="Round",IF($G$8="On",I17,B17)/(PI()*((E17/2)/12)^2),IF($G$8="On",I17,B17)/(Table1[[#This Row],[FA]]*G17*H17/144)),"-")</f>
        <v>-</v>
      </c>
      <c r="D17" s="49">
        <f t="shared" si="6"/>
        <v>0</v>
      </c>
      <c r="E17" s="43">
        <f t="shared" si="0"/>
        <v>0</v>
      </c>
      <c r="F17" s="49">
        <f t="shared" si="7"/>
        <v>0</v>
      </c>
      <c r="G17" s="42">
        <v>1</v>
      </c>
      <c r="H17" s="52">
        <f>144*IF(SIZING="On",Table1[[#This Row],[ΣCFM]],Table1[[#This Row],[CFM]])/(G17*VELOCITY*Table1[[#This Row],[FA]])</f>
        <v>0</v>
      </c>
      <c r="I17" s="48">
        <f>IF(B17&lt;&gt;0,SUM($B$10:B17),0)</f>
        <v>0</v>
      </c>
      <c r="J17" s="53">
        <v>1</v>
      </c>
    </row>
    <row r="18" spans="1:10" ht="15" x14ac:dyDescent="0.2">
      <c r="A18" s="46">
        <f t="shared" si="5"/>
        <v>9</v>
      </c>
      <c r="B18" s="42"/>
      <c r="C18" s="48" t="str">
        <f>IF(E18&lt;&gt;0,IF($D$8="Round",IF($G$8="On",I18,B18)/(PI()*((E18/2)/12)^2),IF($G$8="On",I18,B18)/(Table1[[#This Row],[FA]]*G18*H18/144)),"-")</f>
        <v>-</v>
      </c>
      <c r="D18" s="49">
        <f t="shared" ref="D18:D21" si="8">IF($C$8&lt;&gt;0,IF($A$8=$B$7,ROUNDUP(((0.12326*IF($G$8="On",I18,B18)^1.82)/$B$8)^(1/4.86),1),IF($A$8=$C$7,SQRT((IF($G$8="On",I18,B18)/$C$8)/PI())*2*12,"-")),0)</f>
        <v>0</v>
      </c>
      <c r="E18" s="43">
        <f t="shared" si="0"/>
        <v>0</v>
      </c>
      <c r="F18" s="49">
        <f t="shared" ref="F18:F21" si="9">IF(G18+H18=0,0,1.3*(G18*H18)^0.625/(G18+H18)^0.25)</f>
        <v>0</v>
      </c>
      <c r="G18" s="42">
        <v>1</v>
      </c>
      <c r="H18" s="52">
        <f>144*IF(SIZING="On",Table1[[#This Row],[ΣCFM]],Table1[[#This Row],[CFM]])/(G18*VELOCITY*Table1[[#This Row],[FA]])</f>
        <v>0</v>
      </c>
      <c r="I18" s="48">
        <f>IF(B18&lt;&gt;0,SUM($B$10:B18),0)</f>
        <v>0</v>
      </c>
      <c r="J18" s="53">
        <v>1</v>
      </c>
    </row>
    <row r="19" spans="1:10" ht="15" x14ac:dyDescent="0.2">
      <c r="A19" s="46">
        <f t="shared" si="5"/>
        <v>10</v>
      </c>
      <c r="B19" s="42"/>
      <c r="C19" s="48" t="str">
        <f>IF(E19&lt;&gt;0,IF($D$8="Round",IF($G$8="On",I19,B19)/(PI()*((E19/2)/12)^2),IF($G$8="On",I19,B19)/(Table1[[#This Row],[FA]]*G19*H19/144)),"-")</f>
        <v>-</v>
      </c>
      <c r="D19" s="49">
        <f t="shared" si="8"/>
        <v>0</v>
      </c>
      <c r="E19" s="43">
        <f t="shared" si="0"/>
        <v>0</v>
      </c>
      <c r="F19" s="49">
        <f t="shared" si="9"/>
        <v>0</v>
      </c>
      <c r="G19" s="42">
        <v>1</v>
      </c>
      <c r="H19" s="52">
        <f>144*IF(SIZING="On",Table1[[#This Row],[ΣCFM]],Table1[[#This Row],[CFM]])/(G19*VELOCITY*Table1[[#This Row],[FA]])</f>
        <v>0</v>
      </c>
      <c r="I19" s="48">
        <f>IF(B19&lt;&gt;0,SUM($B$10:B19),0)</f>
        <v>0</v>
      </c>
      <c r="J19" s="53">
        <v>1</v>
      </c>
    </row>
    <row r="20" spans="1:10" ht="15" x14ac:dyDescent="0.2">
      <c r="A20" s="46">
        <f t="shared" si="5"/>
        <v>11</v>
      </c>
      <c r="B20" s="42"/>
      <c r="C20" s="48" t="str">
        <f>IF(E20&lt;&gt;0,IF($D$8="Round",IF($G$8="On",I20,B20)/(PI()*((E20/2)/12)^2),IF($G$8="On",I20,B20)/(Table1[[#This Row],[FA]]*G20*H20/144)),"-")</f>
        <v>-</v>
      </c>
      <c r="D20" s="49">
        <f t="shared" si="8"/>
        <v>0</v>
      </c>
      <c r="E20" s="43">
        <f t="shared" si="0"/>
        <v>0</v>
      </c>
      <c r="F20" s="49">
        <f t="shared" si="9"/>
        <v>0</v>
      </c>
      <c r="G20" s="42">
        <v>1</v>
      </c>
      <c r="H20" s="52">
        <f>144*IF(SIZING="On",Table1[[#This Row],[ΣCFM]],Table1[[#This Row],[CFM]])/(G20*VELOCITY*Table1[[#This Row],[FA]])</f>
        <v>0</v>
      </c>
      <c r="I20" s="48">
        <f>IF(B20&lt;&gt;0,SUM($B$10:B20),0)</f>
        <v>0</v>
      </c>
      <c r="J20" s="53">
        <v>1</v>
      </c>
    </row>
    <row r="21" spans="1:10" ht="15" x14ac:dyDescent="0.2">
      <c r="A21" s="46">
        <f t="shared" si="5"/>
        <v>12</v>
      </c>
      <c r="B21" s="42"/>
      <c r="C21" s="48" t="str">
        <f>IF(E21&lt;&gt;0,IF($D$8="Round",IF($G$8="On",I21,B21)/(PI()*((E21/2)/12)^2),IF($G$8="On",I21,B21)/(Table1[[#This Row],[FA]]*G21*H21/144)),"-")</f>
        <v>-</v>
      </c>
      <c r="D21" s="49">
        <f t="shared" si="8"/>
        <v>0</v>
      </c>
      <c r="E21" s="43">
        <f t="shared" si="0"/>
        <v>0</v>
      </c>
      <c r="F21" s="49">
        <f t="shared" si="9"/>
        <v>0</v>
      </c>
      <c r="G21" s="42">
        <v>1</v>
      </c>
      <c r="H21" s="52">
        <f>144*IF(SIZING="On",Table1[[#This Row],[ΣCFM]],Table1[[#This Row],[CFM]])/(G21*VELOCITY*Table1[[#This Row],[FA]])</f>
        <v>0</v>
      </c>
      <c r="I21" s="48">
        <f>IF(B21&lt;&gt;0,SUM($B$10:B21),0)</f>
        <v>0</v>
      </c>
      <c r="J21" s="53">
        <v>1</v>
      </c>
    </row>
    <row r="22" spans="1:10" ht="15" x14ac:dyDescent="0.2">
      <c r="A22" s="47">
        <f>A21+1</f>
        <v>13</v>
      </c>
      <c r="B22" s="44"/>
      <c r="C22" s="50" t="str">
        <f>IF(E22&lt;&gt;0,IF($D$8="Round",IF($G$8="On",I22,B22)/(PI()*((E22/2)/12)^2),IF($G$8="On",I22,B22)/(Table1[[#This Row],[FA]]*G22*H22/144)),"-")</f>
        <v>-</v>
      </c>
      <c r="D22" s="51">
        <f>IF($C$8&lt;&gt;0,IF($A$8=$B$7,ROUNDUP(((0.12326*IF($G$8="On",I22,B22)^1.82)/$B$8)^(1/4.86),1),IF($A$8=$C$7,SQRT((IF($G$8="On",I22,B22)/$C$8)/PI())*2*12,"-")),0)</f>
        <v>0</v>
      </c>
      <c r="E22" s="45">
        <f t="shared" si="0"/>
        <v>0</v>
      </c>
      <c r="F22" s="51">
        <f>IF(G22+H22=0,0,1.3*(G22*H22)^0.625/(G22+H22)^0.25)</f>
        <v>0</v>
      </c>
      <c r="G22" s="42">
        <v>1</v>
      </c>
      <c r="H22" s="52">
        <f>144*IF(SIZING="On",Table1[[#This Row],[ΣCFM]],Table1[[#This Row],[CFM]])/(G22*VELOCITY*Table1[[#This Row],[FA]])</f>
        <v>0</v>
      </c>
      <c r="I22" s="67">
        <f>IF(B22&lt;&gt;0,SUM($B$10:B22),0)</f>
        <v>0</v>
      </c>
      <c r="J22" s="53">
        <v>1</v>
      </c>
    </row>
  </sheetData>
  <mergeCells count="5">
    <mergeCell ref="A1:J1"/>
    <mergeCell ref="B2:J2"/>
    <mergeCell ref="B3:J3"/>
    <mergeCell ref="B4:J4"/>
    <mergeCell ref="B5:J5"/>
  </mergeCells>
  <conditionalFormatting sqref="F8">
    <cfRule type="cellIs" dxfId="135" priority="9" operator="equal">
      <formula>"N/A"</formula>
    </cfRule>
    <cfRule type="cellIs" dxfId="134" priority="16" operator="equal">
      <formula>"Defaults"</formula>
    </cfRule>
  </conditionalFormatting>
  <conditionalFormatting sqref="G8">
    <cfRule type="cellIs" dxfId="133" priority="8" operator="equal">
      <formula>"Off"</formula>
    </cfRule>
    <cfRule type="cellIs" dxfId="132" priority="15" operator="equal">
      <formula>"Defaults"</formula>
    </cfRule>
  </conditionalFormatting>
  <conditionalFormatting sqref="D8">
    <cfRule type="cellIs" dxfId="131" priority="13" operator="equal">
      <formula>"Round"</formula>
    </cfRule>
    <cfRule type="cellIs" dxfId="130" priority="14" operator="equal">
      <formula>"Rectangular"</formula>
    </cfRule>
  </conditionalFormatting>
  <conditionalFormatting sqref="A8">
    <cfRule type="cellIs" dxfId="129" priority="11" operator="equal">
      <formula>"Friction"</formula>
    </cfRule>
    <cfRule type="cellIs" dxfId="128" priority="12" operator="equal">
      <formula>"Velocity"</formula>
    </cfRule>
  </conditionalFormatting>
  <conditionalFormatting sqref="E8">
    <cfRule type="cellIs" dxfId="127" priority="10" operator="equal">
      <formula>"Main"</formula>
    </cfRule>
  </conditionalFormatting>
  <conditionalFormatting sqref="B8">
    <cfRule type="cellIs" dxfId="126" priority="7" operator="equal">
      <formula>0.1</formula>
    </cfRule>
  </conditionalFormatting>
  <conditionalFormatting sqref="C8">
    <cfRule type="cellIs" dxfId="125" priority="6" operator="equal">
      <formula>650</formula>
    </cfRule>
  </conditionalFormatting>
  <conditionalFormatting sqref="J10:J22">
    <cfRule type="cellIs" dxfId="124" priority="5" operator="notEqual">
      <formula>100%</formula>
    </cfRule>
  </conditionalFormatting>
  <conditionalFormatting sqref="G10:G22">
    <cfRule type="expression" dxfId="123" priority="3">
      <formula>$D$8="Round"</formula>
    </cfRule>
  </conditionalFormatting>
  <dataValidations count="5">
    <dataValidation type="list" allowBlank="1" showInputMessage="1" showErrorMessage="1" sqref="A8">
      <formula1>$B$7:$C$7</formula1>
    </dataValidation>
    <dataValidation type="list" allowBlank="1" showInputMessage="1" showErrorMessage="1" sqref="D8">
      <formula1>"Round, Rectangular"</formula1>
    </dataValidation>
    <dataValidation type="list" allowBlank="1" showInputMessage="1" showErrorMessage="1" sqref="E8">
      <formula1>"Main, Branch, General, Dryer, Kitchen Hood"</formula1>
    </dataValidation>
    <dataValidation type="list" allowBlank="1" showInputMessage="1" showErrorMessage="1" sqref="F8">
      <formula1>"N/A, Defaults"</formula1>
    </dataValidation>
    <dataValidation type="list" allowBlank="1" showInputMessage="1" showErrorMessage="1" sqref="G8">
      <formula1>"On, Off"</formula1>
    </dataValidation>
  </dataValidations>
  <pageMargins left="0.25" right="0.25" top="0.75" bottom="0.75" header="0.3" footer="0.3"/>
  <pageSetup orientation="landscape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9"/>
  <sheetViews>
    <sheetView zoomScaleNormal="100" workbookViewId="0">
      <selection activeCell="B25" sqref="B25"/>
    </sheetView>
  </sheetViews>
  <sheetFormatPr defaultRowHeight="15" x14ac:dyDescent="0.25"/>
  <cols>
    <col min="1" max="1" width="9.5703125" bestFit="1" customWidth="1"/>
    <col min="2" max="2" width="23.5703125" style="157" bestFit="1" customWidth="1"/>
    <col min="3" max="3" width="14.7109375" style="6" bestFit="1" customWidth="1"/>
    <col min="4" max="4" width="8.140625" style="6" bestFit="1" customWidth="1"/>
    <col min="5" max="5" width="15.140625" style="6" bestFit="1" customWidth="1"/>
    <col min="6" max="6" width="16.140625" style="6" bestFit="1" customWidth="1"/>
    <col min="7" max="7" width="14" bestFit="1" customWidth="1"/>
    <col min="8" max="8" width="20.5703125" bestFit="1" customWidth="1"/>
    <col min="9" max="9" width="14.140625" bestFit="1" customWidth="1"/>
    <col min="10" max="10" width="20.7109375" bestFit="1" customWidth="1"/>
  </cols>
  <sheetData>
    <row r="1" spans="1:10" ht="24.75" customHeight="1" x14ac:dyDescent="0.25">
      <c r="A1" s="184" t="s">
        <v>277</v>
      </c>
      <c r="B1" s="185"/>
      <c r="C1" s="185"/>
      <c r="D1" s="185"/>
      <c r="E1" s="185"/>
      <c r="F1" s="185"/>
      <c r="G1" s="185"/>
      <c r="H1" s="185"/>
      <c r="I1" s="185"/>
      <c r="J1" s="186"/>
    </row>
    <row r="2" spans="1:10" x14ac:dyDescent="0.25">
      <c r="A2" s="171" t="s">
        <v>6</v>
      </c>
      <c r="B2" s="175" t="str">
        <f>'Project Information'!B2:J2</f>
        <v>XXX</v>
      </c>
      <c r="C2" s="175"/>
      <c r="D2" s="175"/>
      <c r="E2" s="175"/>
      <c r="F2" s="175"/>
      <c r="G2" s="175"/>
      <c r="H2" s="175"/>
      <c r="I2" s="175"/>
      <c r="J2" s="176"/>
    </row>
    <row r="3" spans="1:10" x14ac:dyDescent="0.25">
      <c r="A3" s="171" t="s">
        <v>5</v>
      </c>
      <c r="B3" s="177">
        <f>'Project Information'!B3:J3</f>
        <v>2015196</v>
      </c>
      <c r="C3" s="177"/>
      <c r="D3" s="177"/>
      <c r="E3" s="177"/>
      <c r="F3" s="177"/>
      <c r="G3" s="177"/>
      <c r="H3" s="177"/>
      <c r="I3" s="177"/>
      <c r="J3" s="178"/>
    </row>
    <row r="4" spans="1:10" x14ac:dyDescent="0.25">
      <c r="A4" s="171" t="s">
        <v>4</v>
      </c>
      <c r="B4" s="175" t="str">
        <f>'Project Information'!B4:J4</f>
        <v>RCR</v>
      </c>
      <c r="C4" s="175"/>
      <c r="D4" s="175"/>
      <c r="E4" s="175"/>
      <c r="F4" s="175"/>
      <c r="G4" s="175"/>
      <c r="H4" s="175"/>
      <c r="I4" s="175"/>
      <c r="J4" s="176"/>
    </row>
    <row r="5" spans="1:10" x14ac:dyDescent="0.25">
      <c r="A5" s="171" t="s">
        <v>2</v>
      </c>
      <c r="B5" s="179">
        <f ca="1">'Project Information'!B5:J5</f>
        <v>42430</v>
      </c>
      <c r="C5" s="179"/>
      <c r="D5" s="179"/>
      <c r="E5" s="179"/>
      <c r="F5" s="179"/>
      <c r="G5" s="179"/>
      <c r="H5" s="179"/>
      <c r="I5" s="179"/>
      <c r="J5" s="180"/>
    </row>
    <row r="7" spans="1:10" x14ac:dyDescent="0.25">
      <c r="A7" s="158"/>
      <c r="B7" s="158" t="s">
        <v>227</v>
      </c>
      <c r="C7" s="159" t="s">
        <v>257</v>
      </c>
      <c r="D7" s="165"/>
      <c r="E7" s="159" t="s">
        <v>266</v>
      </c>
      <c r="F7" s="165"/>
      <c r="G7" s="165"/>
      <c r="H7" s="165"/>
      <c r="I7" s="165"/>
      <c r="J7" s="165"/>
    </row>
    <row r="8" spans="1:10" x14ac:dyDescent="0.25">
      <c r="A8" s="161"/>
      <c r="B8" s="161" t="s">
        <v>236</v>
      </c>
      <c r="C8" s="162">
        <f>IF(ISBLANK(IFERROR(IF($E$8="Approximate",MROUND(VLOOKUP($B8,'DATA - RAINFALL'!$M:$N,2,0),1),VLOOKUP($B8,'DATA - RAINFALL'!$M:$N,2,0)),"")),"",IFERROR(IF($E$8="Approximate",MROUND(VLOOKUP($B8,'DATA - RAINFALL'!$M:$N,2,0),1),VLOOKUP($B8,'DATA - RAINFALL'!$M:$N,2,0)),""))</f>
        <v>3</v>
      </c>
      <c r="D8" s="166"/>
      <c r="E8" s="166" t="s">
        <v>265</v>
      </c>
      <c r="F8" s="167" t="s">
        <v>264</v>
      </c>
      <c r="G8" s="183" t="s">
        <v>270</v>
      </c>
      <c r="H8" s="183"/>
      <c r="I8" s="183" t="s">
        <v>271</v>
      </c>
      <c r="J8" s="183"/>
    </row>
    <row r="9" spans="1:10" x14ac:dyDescent="0.25">
      <c r="A9" s="172" t="s">
        <v>275</v>
      </c>
      <c r="B9" s="160" t="s">
        <v>276</v>
      </c>
      <c r="C9" s="165" t="s">
        <v>255</v>
      </c>
      <c r="D9" s="165" t="s">
        <v>157</v>
      </c>
      <c r="E9" s="165" t="s">
        <v>256</v>
      </c>
      <c r="F9" s="165" t="s">
        <v>263</v>
      </c>
      <c r="G9" s="165" t="s">
        <v>268</v>
      </c>
      <c r="H9" s="165" t="s">
        <v>269</v>
      </c>
      <c r="I9" s="165" t="s">
        <v>272</v>
      </c>
      <c r="J9" s="165" t="s">
        <v>273</v>
      </c>
    </row>
    <row r="10" spans="1:10" x14ac:dyDescent="0.25">
      <c r="A10" s="25">
        <v>1</v>
      </c>
      <c r="B10" s="157" t="s">
        <v>246</v>
      </c>
      <c r="C10" s="6">
        <v>1195</v>
      </c>
      <c r="D10" s="6">
        <v>1</v>
      </c>
      <c r="E10" s="6">
        <f t="shared" ref="E10:E20" si="0">IF($E$8="Approximate",MROUND(C10/D10,100),C10/D10)</f>
        <v>1200</v>
      </c>
      <c r="F10" s="6">
        <f>INDEX(RAINFALL_V_PIPE_SIZE,IFERROR(MATCH(E10,INDEX(RAINFALL_V_DATA,,IFERROR(MATCH($C$8,RAINFALL_V_IPH,1),0)+1*ISNA(MATCH($C$8,RAINFALL_V_IPH,0))),1),0)+1*ISNA(MATCH(E10,INDEX(RAINFALL_V_DATA,,IFERROR(MATCH($C$8,RAINFALL_V_IPH,1),0)+1*ISNA(MATCH($C$8,RAINFALL_V_IPH,0))),0)))</f>
        <v>3</v>
      </c>
      <c r="G10" s="164">
        <v>0.01</v>
      </c>
      <c r="H10" s="6">
        <f>IF(Table4[[#This Row],[DP.Slope '[%']]]=1%,INDEX(RAINFALL_H1_PIPE_SIZE,IFERROR(MATCH(E10,INDEX(RAINFALL_H1_DATA,,IFERROR(MATCH($C$8,RAINFALL_H1_IPH,1),0)+1*ISNA(MATCH($C$8,RAINFALL_H1_IPH,0))),1),0)+1*ISNA(MATCH(E10,INDEX(RAINFALL_H1_DATA,,IFERROR(MATCH($C$8,RAINFALL_H1_IPH,1),0)+1*ISNA(MATCH($C$8,RAINFALL_H1_IPH,0))),0))), IF(Table4[[#This Row],[DP.Slope '[%']]]=2%,INDEX(RAINFALL_H2_PIPE_SIZE,IFERROR(MATCH(E10,INDEX(RAINFALL_H2_DATA,,IFERROR(MATCH($C$8,RAINFALL_H2_IPH,1),0)+1*ISNA(MATCH($C$8,RAINFALL_H2_IPH,0))),1),0)+1*ISNA(MATCH(E10,INDEX(RAINFALL_H2_DATA,,IFERROR(MATCH($C$8,RAINFALL_H2_IPH,1),0)+1*ISNA(MATCH($C$8,RAINFALL_H2_IPH,0))),0))),IF(Table4[[#This Row],[DP.Slope '[%']]]=4%,INDEX(RAINFALL_H4_PIPE_SIZE,IFERROR(MATCH(E10,INDEX(RAINFALL_H4_DATA,,IFERROR(MATCH($C$8,RAINFALL_H4_IPH,1),0)+1*ISNA(MATCH($C$8,RAINFALL_H4_IPH,0))),1),0)+1*ISNA(MATCH(E10,INDEX(RAINFALL_H4_DATA,,IFERROR(MATCH($C$8,RAINFALL_H4_IPH,1),0)+1*ISNA(MATCH($C$8,RAINFALL_H4_IPH,0))),0))))))</f>
        <v>4</v>
      </c>
      <c r="I10" s="170">
        <v>0.01</v>
      </c>
      <c r="J10" s="6">
        <f>IF(Table4[[#This Row],[RG.Slope '[%']]]=0.5%,INDEX(RAINFALL_G1_PIPE_SIZE,IFERROR(MATCH(E10,INDEX(RAINFALL_G1_DATA,,IFERROR(MATCH($C$8,RAINFALL_G1_IPH,1),0)+1*ISNA(MATCH($C$8,RAINFALL_G1_IPH,0))),1),0)+1*ISNA(MATCH(E10,INDEX(RAINFALL_G1_DATA,,IFERROR(MATCH($C$8,RAINFALL_G1_IPH,1),0)+1*ISNA(MATCH($C$8,RAINFALL_G1_IPH,0))),0))), IF(Table4[[#This Row],[RG.Slope '[%']]]=1%,INDEX(RAINFALL_G2_PIPE_SIZE,IFERROR(MATCH(E10,INDEX(RAINFALL_G2_DATA,,IFERROR(MATCH($C$8,RAINFALL_G2_IPH,1),0)+1*ISNA(MATCH($C$8,RAINFALL_G2_IPH,0))),1),0)+1*ISNA(MATCH(E10,INDEX(RAINFALL_G2_DATA,,IFERROR(MATCH($C$8,RAINFALL_G2_IPH,1),0)+1*ISNA(MATCH($C$8,RAINFALL_G2_IPH,0))),0))),IF(Table4[[#This Row],[RG.Slope '[%']]]=2%,INDEX(RAINFALL_G3_PIPE_SIZE,IFERROR(MATCH(E10,INDEX(RAINFALL_G3_DATA,,IFERROR(MATCH($C$8,RAINFALL_G3_IPH,1),0)+1*ISNA(MATCH($C$8,RAINFALL_G3_IPH,0))),1),0)+1*ISNA(MATCH(E10,INDEX(RAINFALL_G3_DATA,,IFERROR(MATCH($C$8,RAINFALL_G3_IPH,1),0)+1*ISNA(MATCH($C$8,RAINFALL_G3_IPH,0))),0))),IF(Table4[[#This Row],[RG.Slope '[%']]]=4%,INDEX(RAINFALL_G4_PIPE_SIZE,IFERROR(MATCH(E10,INDEX(RAINFALL_G4_DATA,,IFERROR(MATCH($C$8,RAINFALL_G4_IPH,1),0)+1*ISNA(MATCH($C$8,RAINFALL_G4_IPH,0))),1),0)+1*ISNA(MATCH(E10,INDEX(RAINFALL_G4_DATA,,IFERROR(MATCH($C$8,RAINFALL_G4_IPH,1),0)+1*ISNA(MATCH($C$8,RAINFALL_G4_IPH,0))),0)))))))</f>
        <v>6</v>
      </c>
    </row>
    <row r="11" spans="1:10" x14ac:dyDescent="0.25">
      <c r="A11" s="25">
        <v>2</v>
      </c>
      <c r="B11" s="157" t="s">
        <v>251</v>
      </c>
      <c r="C11" s="6">
        <v>2102</v>
      </c>
      <c r="D11" s="6">
        <v>1</v>
      </c>
      <c r="E11" s="6">
        <f t="shared" si="0"/>
        <v>2100</v>
      </c>
      <c r="F11" s="6">
        <f t="shared" ref="F11:F20" si="1">INDEX(RAINFALL_V_PIPE_SIZE,IFERROR(MATCH(E11,INDEX(RAINFALL_V_DATA,,IFERROR(MATCH($C$8,RAINFALL_V_IPH,1),0)+1*ISNA(MATCH($C$8,RAINFALL_V_IPH,0))),1),0)+1*ISNA(MATCH(E11,INDEX(RAINFALL_V_DATA,,IFERROR(MATCH($C$8,RAINFALL_V_IPH,1),0)+1*ISNA(MATCH($C$8,RAINFALL_V_IPH,0))),0)))</f>
        <v>3</v>
      </c>
      <c r="G11" s="164">
        <v>0.01</v>
      </c>
      <c r="H11" s="6">
        <f>IF(Table4[[#This Row],[DP.Slope '[%']]]=1%,INDEX(RAINFALL_H1_PIPE_SIZE,IFERROR(MATCH(E11,INDEX(RAINFALL_H1_DATA,,IFERROR(MATCH($C$8,RAINFALL_H1_IPH,1),0)+1*ISNA(MATCH($C$8,RAINFALL_H1_IPH,0))),1),0)+1*ISNA(MATCH(E11,INDEX(RAINFALL_H1_DATA,,IFERROR(MATCH($C$8,RAINFALL_H1_IPH,1),0)+1*ISNA(MATCH($C$8,RAINFALL_H1_IPH,0))),0))), IF(Table4[[#This Row],[DP.Slope '[%']]]=2%,INDEX(RAINFALL_H2_PIPE_SIZE,IFERROR(MATCH(E11,INDEX(RAINFALL_H2_DATA,,IFERROR(MATCH($C$8,RAINFALL_H2_IPH,1),0)+1*ISNA(MATCH($C$8,RAINFALL_H2_IPH,0))),1),0)+1*ISNA(MATCH(E11,INDEX(RAINFALL_H2_DATA,,IFERROR(MATCH($C$8,RAINFALL_H2_IPH,1),0)+1*ISNA(MATCH($C$8,RAINFALL_H2_IPH,0))),0))),IF(Table4[[#This Row],[DP.Slope '[%']]]=4%,INDEX(RAINFALL_H4_PIPE_SIZE,IFERROR(MATCH(E11,INDEX(RAINFALL_H4_DATA,,IFERROR(MATCH($C$8,RAINFALL_H4_IPH,1),0)+1*ISNA(MATCH($C$8,RAINFALL_H4_IPH,0))),1),0)+1*ISNA(MATCH(E11,INDEX(RAINFALL_H4_DATA,,IFERROR(MATCH($C$8,RAINFALL_H4_IPH,1),0)+1*ISNA(MATCH($C$8,RAINFALL_H4_IPH,0))),0))))))</f>
        <v>4</v>
      </c>
      <c r="I11" s="170">
        <v>0.01</v>
      </c>
      <c r="J11" s="6">
        <f>IF(Table4[[#This Row],[RG.Slope '[%']]]=0.5%,INDEX(RAINFALL_G1_PIPE_SIZE,IFERROR(MATCH(E11,INDEX(RAINFALL_G1_DATA,,IFERROR(MATCH($C$8,RAINFALL_G1_IPH,1),0)+1*ISNA(MATCH($C$8,RAINFALL_G1_IPH,0))),1),0)+1*ISNA(MATCH(E11,INDEX(RAINFALL_G1_DATA,,IFERROR(MATCH($C$8,RAINFALL_G1_IPH,1),0)+1*ISNA(MATCH($C$8,RAINFALL_G1_IPH,0))),0))), IF(Table4[[#This Row],[RG.Slope '[%']]]=1%,INDEX(RAINFALL_G2_PIPE_SIZE,IFERROR(MATCH(E11,INDEX(RAINFALL_G2_DATA,,IFERROR(MATCH($C$8,RAINFALL_G2_IPH,1),0)+1*ISNA(MATCH($C$8,RAINFALL_G2_IPH,0))),1),0)+1*ISNA(MATCH(E11,INDEX(RAINFALL_G2_DATA,,IFERROR(MATCH($C$8,RAINFALL_G2_IPH,1),0)+1*ISNA(MATCH($C$8,RAINFALL_G2_IPH,0))),0))),IF(Table4[[#This Row],[RG.Slope '[%']]]=2%,INDEX(RAINFALL_G3_PIPE_SIZE,IFERROR(MATCH(E11,INDEX(RAINFALL_G3_DATA,,IFERROR(MATCH($C$8,RAINFALL_G3_IPH,1),0)+1*ISNA(MATCH($C$8,RAINFALL_G3_IPH,0))),1),0)+1*ISNA(MATCH(E11,INDEX(RAINFALL_G3_DATA,,IFERROR(MATCH($C$8,RAINFALL_G3_IPH,1),0)+1*ISNA(MATCH($C$8,RAINFALL_G3_IPH,0))),0))),IF(Table4[[#This Row],[RG.Slope '[%']]]=4%,INDEX(RAINFALL_G4_PIPE_SIZE,IFERROR(MATCH(E11,INDEX(RAINFALL_G4_DATA,,IFERROR(MATCH($C$8,RAINFALL_G4_IPH,1),0)+1*ISNA(MATCH($C$8,RAINFALL_G4_IPH,0))),1),0)+1*ISNA(MATCH(E11,INDEX(RAINFALL_G4_DATA,,IFERROR(MATCH($C$8,RAINFALL_G4_IPH,1),0)+1*ISNA(MATCH($C$8,RAINFALL_G4_IPH,0))),0)))))))</f>
        <v>7</v>
      </c>
    </row>
    <row r="12" spans="1:10" x14ac:dyDescent="0.25">
      <c r="A12" s="25">
        <v>3</v>
      </c>
      <c r="B12" s="157" t="s">
        <v>248</v>
      </c>
      <c r="C12" s="6">
        <v>1195</v>
      </c>
      <c r="D12" s="6">
        <v>1</v>
      </c>
      <c r="E12" s="6">
        <f t="shared" si="0"/>
        <v>1200</v>
      </c>
      <c r="F12" s="6">
        <f t="shared" si="1"/>
        <v>3</v>
      </c>
      <c r="G12" s="164">
        <v>0.01</v>
      </c>
      <c r="H12" s="6">
        <f>IF(Table4[[#This Row],[DP.Slope '[%']]]=1%,INDEX(RAINFALL_H1_PIPE_SIZE,IFERROR(MATCH(E12,INDEX(RAINFALL_H1_DATA,,IFERROR(MATCH($C$8,RAINFALL_H1_IPH,1),0)+1*ISNA(MATCH($C$8,RAINFALL_H1_IPH,0))),1),0)+1*ISNA(MATCH(E12,INDEX(RAINFALL_H1_DATA,,IFERROR(MATCH($C$8,RAINFALL_H1_IPH,1),0)+1*ISNA(MATCH($C$8,RAINFALL_H1_IPH,0))),0))), IF(Table4[[#This Row],[DP.Slope '[%']]]=2%,INDEX(RAINFALL_H2_PIPE_SIZE,IFERROR(MATCH(E12,INDEX(RAINFALL_H2_DATA,,IFERROR(MATCH($C$8,RAINFALL_H2_IPH,1),0)+1*ISNA(MATCH($C$8,RAINFALL_H2_IPH,0))),1),0)+1*ISNA(MATCH(E12,INDEX(RAINFALL_H2_DATA,,IFERROR(MATCH($C$8,RAINFALL_H2_IPH,1),0)+1*ISNA(MATCH($C$8,RAINFALL_H2_IPH,0))),0))),IF(Table4[[#This Row],[DP.Slope '[%']]]=4%,INDEX(RAINFALL_H4_PIPE_SIZE,IFERROR(MATCH(E12,INDEX(RAINFALL_H4_DATA,,IFERROR(MATCH($C$8,RAINFALL_H4_IPH,1),0)+1*ISNA(MATCH($C$8,RAINFALL_H4_IPH,0))),1),0)+1*ISNA(MATCH(E12,INDEX(RAINFALL_H4_DATA,,IFERROR(MATCH($C$8,RAINFALL_H4_IPH,1),0)+1*ISNA(MATCH($C$8,RAINFALL_H4_IPH,0))),0))))))</f>
        <v>4</v>
      </c>
      <c r="I12" s="170">
        <v>0.01</v>
      </c>
      <c r="J12" s="6">
        <f>IF(Table4[[#This Row],[RG.Slope '[%']]]=0.5%,INDEX(RAINFALL_G1_PIPE_SIZE,IFERROR(MATCH(E12,INDEX(RAINFALL_G1_DATA,,IFERROR(MATCH($C$8,RAINFALL_G1_IPH,1),0)+1*ISNA(MATCH($C$8,RAINFALL_G1_IPH,0))),1),0)+1*ISNA(MATCH(E12,INDEX(RAINFALL_G1_DATA,,IFERROR(MATCH($C$8,RAINFALL_G1_IPH,1),0)+1*ISNA(MATCH($C$8,RAINFALL_G1_IPH,0))),0))), IF(Table4[[#This Row],[RG.Slope '[%']]]=1%,INDEX(RAINFALL_G2_PIPE_SIZE,IFERROR(MATCH(E12,INDEX(RAINFALL_G2_DATA,,IFERROR(MATCH($C$8,RAINFALL_G2_IPH,1),0)+1*ISNA(MATCH($C$8,RAINFALL_G2_IPH,0))),1),0)+1*ISNA(MATCH(E12,INDEX(RAINFALL_G2_DATA,,IFERROR(MATCH($C$8,RAINFALL_G2_IPH,1),0)+1*ISNA(MATCH($C$8,RAINFALL_G2_IPH,0))),0))),IF(Table4[[#This Row],[RG.Slope '[%']]]=2%,INDEX(RAINFALL_G3_PIPE_SIZE,IFERROR(MATCH(E12,INDEX(RAINFALL_G3_DATA,,IFERROR(MATCH($C$8,RAINFALL_G3_IPH,1),0)+1*ISNA(MATCH($C$8,RAINFALL_G3_IPH,0))),1),0)+1*ISNA(MATCH(E12,INDEX(RAINFALL_G3_DATA,,IFERROR(MATCH($C$8,RAINFALL_G3_IPH,1),0)+1*ISNA(MATCH($C$8,RAINFALL_G3_IPH,0))),0))),IF(Table4[[#This Row],[RG.Slope '[%']]]=4%,INDEX(RAINFALL_G4_PIPE_SIZE,IFERROR(MATCH(E12,INDEX(RAINFALL_G4_DATA,,IFERROR(MATCH($C$8,RAINFALL_G4_IPH,1),0)+1*ISNA(MATCH($C$8,RAINFALL_G4_IPH,0))),1),0)+1*ISNA(MATCH(E12,INDEX(RAINFALL_G4_DATA,,IFERROR(MATCH($C$8,RAINFALL_G4_IPH,1),0)+1*ISNA(MATCH($C$8,RAINFALL_G4_IPH,0))),0)))))))</f>
        <v>6</v>
      </c>
    </row>
    <row r="13" spans="1:10" x14ac:dyDescent="0.25">
      <c r="A13" s="25">
        <v>4</v>
      </c>
      <c r="B13" s="157" t="s">
        <v>250</v>
      </c>
      <c r="C13" s="6">
        <v>1195</v>
      </c>
      <c r="D13" s="6">
        <v>1</v>
      </c>
      <c r="E13" s="6">
        <f t="shared" si="0"/>
        <v>1200</v>
      </c>
      <c r="F13" s="6">
        <f t="shared" si="1"/>
        <v>3</v>
      </c>
      <c r="G13" s="164">
        <v>0.01</v>
      </c>
      <c r="H13" s="6">
        <f>IF(Table4[[#This Row],[DP.Slope '[%']]]=1%,INDEX(RAINFALL_H1_PIPE_SIZE,IFERROR(MATCH(E13,INDEX(RAINFALL_H1_DATA,,IFERROR(MATCH($C$8,RAINFALL_H1_IPH,1),0)+1*ISNA(MATCH($C$8,RAINFALL_H1_IPH,0))),1),0)+1*ISNA(MATCH(E13,INDEX(RAINFALL_H1_DATA,,IFERROR(MATCH($C$8,RAINFALL_H1_IPH,1),0)+1*ISNA(MATCH($C$8,RAINFALL_H1_IPH,0))),0))), IF(Table4[[#This Row],[DP.Slope '[%']]]=2%,INDEX(RAINFALL_H2_PIPE_SIZE,IFERROR(MATCH(E13,INDEX(RAINFALL_H2_DATA,,IFERROR(MATCH($C$8,RAINFALL_H2_IPH,1),0)+1*ISNA(MATCH($C$8,RAINFALL_H2_IPH,0))),1),0)+1*ISNA(MATCH(E13,INDEX(RAINFALL_H2_DATA,,IFERROR(MATCH($C$8,RAINFALL_H2_IPH,1),0)+1*ISNA(MATCH($C$8,RAINFALL_H2_IPH,0))),0))),IF(Table4[[#This Row],[DP.Slope '[%']]]=4%,INDEX(RAINFALL_H4_PIPE_SIZE,IFERROR(MATCH(E13,INDEX(RAINFALL_H4_DATA,,IFERROR(MATCH($C$8,RAINFALL_H4_IPH,1),0)+1*ISNA(MATCH($C$8,RAINFALL_H4_IPH,0))),1),0)+1*ISNA(MATCH(E13,INDEX(RAINFALL_H4_DATA,,IFERROR(MATCH($C$8,RAINFALL_H4_IPH,1),0)+1*ISNA(MATCH($C$8,RAINFALL_H4_IPH,0))),0))))))</f>
        <v>4</v>
      </c>
      <c r="I13" s="170">
        <v>0.01</v>
      </c>
      <c r="J13" s="6">
        <f>IF(Table4[[#This Row],[RG.Slope '[%']]]=0.5%,INDEX(RAINFALL_G1_PIPE_SIZE,IFERROR(MATCH(E13,INDEX(RAINFALL_G1_DATA,,IFERROR(MATCH($C$8,RAINFALL_G1_IPH,1),0)+1*ISNA(MATCH($C$8,RAINFALL_G1_IPH,0))),1),0)+1*ISNA(MATCH(E13,INDEX(RAINFALL_G1_DATA,,IFERROR(MATCH($C$8,RAINFALL_G1_IPH,1),0)+1*ISNA(MATCH($C$8,RAINFALL_G1_IPH,0))),0))), IF(Table4[[#This Row],[RG.Slope '[%']]]=1%,INDEX(RAINFALL_G2_PIPE_SIZE,IFERROR(MATCH(E13,INDEX(RAINFALL_G2_DATA,,IFERROR(MATCH($C$8,RAINFALL_G2_IPH,1),0)+1*ISNA(MATCH($C$8,RAINFALL_G2_IPH,0))),1),0)+1*ISNA(MATCH(E13,INDEX(RAINFALL_G2_DATA,,IFERROR(MATCH($C$8,RAINFALL_G2_IPH,1),0)+1*ISNA(MATCH($C$8,RAINFALL_G2_IPH,0))),0))),IF(Table4[[#This Row],[RG.Slope '[%']]]=2%,INDEX(RAINFALL_G3_PIPE_SIZE,IFERROR(MATCH(E13,INDEX(RAINFALL_G3_DATA,,IFERROR(MATCH($C$8,RAINFALL_G3_IPH,1),0)+1*ISNA(MATCH($C$8,RAINFALL_G3_IPH,0))),1),0)+1*ISNA(MATCH(E13,INDEX(RAINFALL_G3_DATA,,IFERROR(MATCH($C$8,RAINFALL_G3_IPH,1),0)+1*ISNA(MATCH($C$8,RAINFALL_G3_IPH,0))),0))),IF(Table4[[#This Row],[RG.Slope '[%']]]=4%,INDEX(RAINFALL_G4_PIPE_SIZE,IFERROR(MATCH(E13,INDEX(RAINFALL_G4_DATA,,IFERROR(MATCH($C$8,RAINFALL_G4_IPH,1),0)+1*ISNA(MATCH($C$8,RAINFALL_G4_IPH,0))),1),0)+1*ISNA(MATCH(E13,INDEX(RAINFALL_G4_DATA,,IFERROR(MATCH($C$8,RAINFALL_G4_IPH,1),0)+1*ISNA(MATCH($C$8,RAINFALL_G4_IPH,0))),0)))))))</f>
        <v>6</v>
      </c>
    </row>
    <row r="14" spans="1:10" x14ac:dyDescent="0.25">
      <c r="A14" s="25">
        <v>5</v>
      </c>
      <c r="B14" s="157" t="s">
        <v>247</v>
      </c>
      <c r="C14" s="6">
        <v>1195</v>
      </c>
      <c r="D14" s="6">
        <v>1</v>
      </c>
      <c r="E14" s="6">
        <f t="shared" si="0"/>
        <v>1200</v>
      </c>
      <c r="F14" s="6">
        <f t="shared" si="1"/>
        <v>3</v>
      </c>
      <c r="G14" s="164">
        <v>0.01</v>
      </c>
      <c r="H14" s="6">
        <f>IF(Table4[[#This Row],[DP.Slope '[%']]]=1%,INDEX(RAINFALL_H1_PIPE_SIZE,IFERROR(MATCH(E14,INDEX(RAINFALL_H1_DATA,,IFERROR(MATCH($C$8,RAINFALL_H1_IPH,1),0)+1*ISNA(MATCH($C$8,RAINFALL_H1_IPH,0))),1),0)+1*ISNA(MATCH(E14,INDEX(RAINFALL_H1_DATA,,IFERROR(MATCH($C$8,RAINFALL_H1_IPH,1),0)+1*ISNA(MATCH($C$8,RAINFALL_H1_IPH,0))),0))), IF(Table4[[#This Row],[DP.Slope '[%']]]=2%,INDEX(RAINFALL_H2_PIPE_SIZE,IFERROR(MATCH(E14,INDEX(RAINFALL_H2_DATA,,IFERROR(MATCH($C$8,RAINFALL_H2_IPH,1),0)+1*ISNA(MATCH($C$8,RAINFALL_H2_IPH,0))),1),0)+1*ISNA(MATCH(E14,INDEX(RAINFALL_H2_DATA,,IFERROR(MATCH($C$8,RAINFALL_H2_IPH,1),0)+1*ISNA(MATCH($C$8,RAINFALL_H2_IPH,0))),0))),IF(Table4[[#This Row],[DP.Slope '[%']]]=4%,INDEX(RAINFALL_H4_PIPE_SIZE,IFERROR(MATCH(E14,INDEX(RAINFALL_H4_DATA,,IFERROR(MATCH($C$8,RAINFALL_H4_IPH,1),0)+1*ISNA(MATCH($C$8,RAINFALL_H4_IPH,0))),1),0)+1*ISNA(MATCH(E14,INDEX(RAINFALL_H4_DATA,,IFERROR(MATCH($C$8,RAINFALL_H4_IPH,1),0)+1*ISNA(MATCH($C$8,RAINFALL_H4_IPH,0))),0))))))</f>
        <v>4</v>
      </c>
      <c r="I14" s="170">
        <v>0.01</v>
      </c>
      <c r="J14" s="6">
        <f>IF(Table4[[#This Row],[RG.Slope '[%']]]=0.5%,INDEX(RAINFALL_G1_PIPE_SIZE,IFERROR(MATCH(E14,INDEX(RAINFALL_G1_DATA,,IFERROR(MATCH($C$8,RAINFALL_G1_IPH,1),0)+1*ISNA(MATCH($C$8,RAINFALL_G1_IPH,0))),1),0)+1*ISNA(MATCH(E14,INDEX(RAINFALL_G1_DATA,,IFERROR(MATCH($C$8,RAINFALL_G1_IPH,1),0)+1*ISNA(MATCH($C$8,RAINFALL_G1_IPH,0))),0))), IF(Table4[[#This Row],[RG.Slope '[%']]]=1%,INDEX(RAINFALL_G2_PIPE_SIZE,IFERROR(MATCH(E14,INDEX(RAINFALL_G2_DATA,,IFERROR(MATCH($C$8,RAINFALL_G2_IPH,1),0)+1*ISNA(MATCH($C$8,RAINFALL_G2_IPH,0))),1),0)+1*ISNA(MATCH(E14,INDEX(RAINFALL_G2_DATA,,IFERROR(MATCH($C$8,RAINFALL_G2_IPH,1),0)+1*ISNA(MATCH($C$8,RAINFALL_G2_IPH,0))),0))),IF(Table4[[#This Row],[RG.Slope '[%']]]=2%,INDEX(RAINFALL_G3_PIPE_SIZE,IFERROR(MATCH(E14,INDEX(RAINFALL_G3_DATA,,IFERROR(MATCH($C$8,RAINFALL_G3_IPH,1),0)+1*ISNA(MATCH($C$8,RAINFALL_G3_IPH,0))),1),0)+1*ISNA(MATCH(E14,INDEX(RAINFALL_G3_DATA,,IFERROR(MATCH($C$8,RAINFALL_G3_IPH,1),0)+1*ISNA(MATCH($C$8,RAINFALL_G3_IPH,0))),0))),IF(Table4[[#This Row],[RG.Slope '[%']]]=4%,INDEX(RAINFALL_G4_PIPE_SIZE,IFERROR(MATCH(E14,INDEX(RAINFALL_G4_DATA,,IFERROR(MATCH($C$8,RAINFALL_G4_IPH,1),0)+1*ISNA(MATCH($C$8,RAINFALL_G4_IPH,0))),1),0)+1*ISNA(MATCH(E14,INDEX(RAINFALL_G4_DATA,,IFERROR(MATCH($C$8,RAINFALL_G4_IPH,1),0)+1*ISNA(MATCH($C$8,RAINFALL_G4_IPH,0))),0)))))))</f>
        <v>6</v>
      </c>
    </row>
    <row r="15" spans="1:10" x14ac:dyDescent="0.25">
      <c r="A15" s="25">
        <v>6</v>
      </c>
      <c r="B15" s="157" t="s">
        <v>247</v>
      </c>
      <c r="C15" s="6">
        <v>1195</v>
      </c>
      <c r="D15" s="6">
        <v>1</v>
      </c>
      <c r="E15" s="6">
        <f t="shared" si="0"/>
        <v>1200</v>
      </c>
      <c r="F15" s="6">
        <f t="shared" si="1"/>
        <v>3</v>
      </c>
      <c r="G15" s="164">
        <v>0.01</v>
      </c>
      <c r="H15" s="6">
        <f>IF(Table4[[#This Row],[DP.Slope '[%']]]=1%,INDEX(RAINFALL_H1_PIPE_SIZE,IFERROR(MATCH(E15,INDEX(RAINFALL_H1_DATA,,IFERROR(MATCH($C$8,RAINFALL_H1_IPH,1),0)+1*ISNA(MATCH($C$8,RAINFALL_H1_IPH,0))),1),0)+1*ISNA(MATCH(E15,INDEX(RAINFALL_H1_DATA,,IFERROR(MATCH($C$8,RAINFALL_H1_IPH,1),0)+1*ISNA(MATCH($C$8,RAINFALL_H1_IPH,0))),0))), IF(Table4[[#This Row],[DP.Slope '[%']]]=2%,INDEX(RAINFALL_H2_PIPE_SIZE,IFERROR(MATCH(E15,INDEX(RAINFALL_H2_DATA,,IFERROR(MATCH($C$8,RAINFALL_H2_IPH,1),0)+1*ISNA(MATCH($C$8,RAINFALL_H2_IPH,0))),1),0)+1*ISNA(MATCH(E15,INDEX(RAINFALL_H2_DATA,,IFERROR(MATCH($C$8,RAINFALL_H2_IPH,1),0)+1*ISNA(MATCH($C$8,RAINFALL_H2_IPH,0))),0))),IF(Table4[[#This Row],[DP.Slope '[%']]]=4%,INDEX(RAINFALL_H4_PIPE_SIZE,IFERROR(MATCH(E15,INDEX(RAINFALL_H4_DATA,,IFERROR(MATCH($C$8,RAINFALL_H4_IPH,1),0)+1*ISNA(MATCH($C$8,RAINFALL_H4_IPH,0))),1),0)+1*ISNA(MATCH(E15,INDEX(RAINFALL_H4_DATA,,IFERROR(MATCH($C$8,RAINFALL_H4_IPH,1),0)+1*ISNA(MATCH($C$8,RAINFALL_H4_IPH,0))),0))))))</f>
        <v>4</v>
      </c>
      <c r="I15" s="170">
        <v>0.01</v>
      </c>
      <c r="J15" s="6">
        <f>IF(Table4[[#This Row],[RG.Slope '[%']]]=0.5%,INDEX(RAINFALL_G1_PIPE_SIZE,IFERROR(MATCH(E15,INDEX(RAINFALL_G1_DATA,,IFERROR(MATCH($C$8,RAINFALL_G1_IPH,1),0)+1*ISNA(MATCH($C$8,RAINFALL_G1_IPH,0))),1),0)+1*ISNA(MATCH(E15,INDEX(RAINFALL_G1_DATA,,IFERROR(MATCH($C$8,RAINFALL_G1_IPH,1),0)+1*ISNA(MATCH($C$8,RAINFALL_G1_IPH,0))),0))), IF(Table4[[#This Row],[RG.Slope '[%']]]=1%,INDEX(RAINFALL_G2_PIPE_SIZE,IFERROR(MATCH(E15,INDEX(RAINFALL_G2_DATA,,IFERROR(MATCH($C$8,RAINFALL_G2_IPH,1),0)+1*ISNA(MATCH($C$8,RAINFALL_G2_IPH,0))),1),0)+1*ISNA(MATCH(E15,INDEX(RAINFALL_G2_DATA,,IFERROR(MATCH($C$8,RAINFALL_G2_IPH,1),0)+1*ISNA(MATCH($C$8,RAINFALL_G2_IPH,0))),0))),IF(Table4[[#This Row],[RG.Slope '[%']]]=2%,INDEX(RAINFALL_G3_PIPE_SIZE,IFERROR(MATCH(E15,INDEX(RAINFALL_G3_DATA,,IFERROR(MATCH($C$8,RAINFALL_G3_IPH,1),0)+1*ISNA(MATCH($C$8,RAINFALL_G3_IPH,0))),1),0)+1*ISNA(MATCH(E15,INDEX(RAINFALL_G3_DATA,,IFERROR(MATCH($C$8,RAINFALL_G3_IPH,1),0)+1*ISNA(MATCH($C$8,RAINFALL_G3_IPH,0))),0))),IF(Table4[[#This Row],[RG.Slope '[%']]]=4%,INDEX(RAINFALL_G4_PIPE_SIZE,IFERROR(MATCH(E15,INDEX(RAINFALL_G4_DATA,,IFERROR(MATCH($C$8,RAINFALL_G4_IPH,1),0)+1*ISNA(MATCH($C$8,RAINFALL_G4_IPH,0))),1),0)+1*ISNA(MATCH(E15,INDEX(RAINFALL_G4_DATA,,IFERROR(MATCH($C$8,RAINFALL_G4_IPH,1),0)+1*ISNA(MATCH($C$8,RAINFALL_G4_IPH,0))),0)))))))</f>
        <v>6</v>
      </c>
    </row>
    <row r="16" spans="1:10" x14ac:dyDescent="0.25">
      <c r="A16" s="25">
        <v>7</v>
      </c>
      <c r="B16" s="157" t="s">
        <v>249</v>
      </c>
      <c r="C16" s="6">
        <v>1195</v>
      </c>
      <c r="D16" s="6">
        <v>1</v>
      </c>
      <c r="E16" s="6">
        <f t="shared" si="0"/>
        <v>1200</v>
      </c>
      <c r="F16" s="6">
        <f t="shared" si="1"/>
        <v>3</v>
      </c>
      <c r="G16" s="164">
        <v>0.01</v>
      </c>
      <c r="H16" s="6">
        <f>IF(Table4[[#This Row],[DP.Slope '[%']]]=1%,INDEX(RAINFALL_H1_PIPE_SIZE,IFERROR(MATCH(E16,INDEX(RAINFALL_H1_DATA,,IFERROR(MATCH($C$8,RAINFALL_H1_IPH,1),0)+1*ISNA(MATCH($C$8,RAINFALL_H1_IPH,0))),1),0)+1*ISNA(MATCH(E16,INDEX(RAINFALL_H1_DATA,,IFERROR(MATCH($C$8,RAINFALL_H1_IPH,1),0)+1*ISNA(MATCH($C$8,RAINFALL_H1_IPH,0))),0))), IF(Table4[[#This Row],[DP.Slope '[%']]]=2%,INDEX(RAINFALL_H2_PIPE_SIZE,IFERROR(MATCH(E16,INDEX(RAINFALL_H2_DATA,,IFERROR(MATCH($C$8,RAINFALL_H2_IPH,1),0)+1*ISNA(MATCH($C$8,RAINFALL_H2_IPH,0))),1),0)+1*ISNA(MATCH(E16,INDEX(RAINFALL_H2_DATA,,IFERROR(MATCH($C$8,RAINFALL_H2_IPH,1),0)+1*ISNA(MATCH($C$8,RAINFALL_H2_IPH,0))),0))),IF(Table4[[#This Row],[DP.Slope '[%']]]=4%,INDEX(RAINFALL_H4_PIPE_SIZE,IFERROR(MATCH(E16,INDEX(RAINFALL_H4_DATA,,IFERROR(MATCH($C$8,RAINFALL_H4_IPH,1),0)+1*ISNA(MATCH($C$8,RAINFALL_H4_IPH,0))),1),0)+1*ISNA(MATCH(E16,INDEX(RAINFALL_H4_DATA,,IFERROR(MATCH($C$8,RAINFALL_H4_IPH,1),0)+1*ISNA(MATCH($C$8,RAINFALL_H4_IPH,0))),0))))))</f>
        <v>4</v>
      </c>
      <c r="I16" s="170">
        <v>0.01</v>
      </c>
      <c r="J16" s="6">
        <f>IF(Table4[[#This Row],[RG.Slope '[%']]]=0.5%,INDEX(RAINFALL_G1_PIPE_SIZE,IFERROR(MATCH(E16,INDEX(RAINFALL_G1_DATA,,IFERROR(MATCH($C$8,RAINFALL_G1_IPH,1),0)+1*ISNA(MATCH($C$8,RAINFALL_G1_IPH,0))),1),0)+1*ISNA(MATCH(E16,INDEX(RAINFALL_G1_DATA,,IFERROR(MATCH($C$8,RAINFALL_G1_IPH,1),0)+1*ISNA(MATCH($C$8,RAINFALL_G1_IPH,0))),0))), IF(Table4[[#This Row],[RG.Slope '[%']]]=1%,INDEX(RAINFALL_G2_PIPE_SIZE,IFERROR(MATCH(E16,INDEX(RAINFALL_G2_DATA,,IFERROR(MATCH($C$8,RAINFALL_G2_IPH,1),0)+1*ISNA(MATCH($C$8,RAINFALL_G2_IPH,0))),1),0)+1*ISNA(MATCH(E16,INDEX(RAINFALL_G2_DATA,,IFERROR(MATCH($C$8,RAINFALL_G2_IPH,1),0)+1*ISNA(MATCH($C$8,RAINFALL_G2_IPH,0))),0))),IF(Table4[[#This Row],[RG.Slope '[%']]]=2%,INDEX(RAINFALL_G3_PIPE_SIZE,IFERROR(MATCH(E16,INDEX(RAINFALL_G3_DATA,,IFERROR(MATCH($C$8,RAINFALL_G3_IPH,1),0)+1*ISNA(MATCH($C$8,RAINFALL_G3_IPH,0))),1),0)+1*ISNA(MATCH(E16,INDEX(RAINFALL_G3_DATA,,IFERROR(MATCH($C$8,RAINFALL_G3_IPH,1),0)+1*ISNA(MATCH($C$8,RAINFALL_G3_IPH,0))),0))),IF(Table4[[#This Row],[RG.Slope '[%']]]=4%,INDEX(RAINFALL_G4_PIPE_SIZE,IFERROR(MATCH(E16,INDEX(RAINFALL_G4_DATA,,IFERROR(MATCH($C$8,RAINFALL_G4_IPH,1),0)+1*ISNA(MATCH($C$8,RAINFALL_G4_IPH,0))),1),0)+1*ISNA(MATCH(E16,INDEX(RAINFALL_G4_DATA,,IFERROR(MATCH($C$8,RAINFALL_G4_IPH,1),0)+1*ISNA(MATCH($C$8,RAINFALL_G4_IPH,0))),0)))))))</f>
        <v>6</v>
      </c>
    </row>
    <row r="17" spans="1:10" x14ac:dyDescent="0.25">
      <c r="A17" s="25">
        <v>8</v>
      </c>
      <c r="B17" s="157" t="s">
        <v>252</v>
      </c>
      <c r="C17" s="6">
        <v>1195</v>
      </c>
      <c r="D17" s="6">
        <v>1</v>
      </c>
      <c r="E17" s="6">
        <f t="shared" si="0"/>
        <v>1200</v>
      </c>
      <c r="F17" s="6">
        <f t="shared" si="1"/>
        <v>3</v>
      </c>
      <c r="G17" s="164">
        <v>0.01</v>
      </c>
      <c r="H17" s="6">
        <f>IF(Table4[[#This Row],[DP.Slope '[%']]]=1%,INDEX(RAINFALL_H1_PIPE_SIZE,IFERROR(MATCH(E17,INDEX(RAINFALL_H1_DATA,,IFERROR(MATCH($C$8,RAINFALL_H1_IPH,1),0)+1*ISNA(MATCH($C$8,RAINFALL_H1_IPH,0))),1),0)+1*ISNA(MATCH(E17,INDEX(RAINFALL_H1_DATA,,IFERROR(MATCH($C$8,RAINFALL_H1_IPH,1),0)+1*ISNA(MATCH($C$8,RAINFALL_H1_IPH,0))),0))), IF(Table4[[#This Row],[DP.Slope '[%']]]=2%,INDEX(RAINFALL_H2_PIPE_SIZE,IFERROR(MATCH(E17,INDEX(RAINFALL_H2_DATA,,IFERROR(MATCH($C$8,RAINFALL_H2_IPH,1),0)+1*ISNA(MATCH($C$8,RAINFALL_H2_IPH,0))),1),0)+1*ISNA(MATCH(E17,INDEX(RAINFALL_H2_DATA,,IFERROR(MATCH($C$8,RAINFALL_H2_IPH,1),0)+1*ISNA(MATCH($C$8,RAINFALL_H2_IPH,0))),0))),IF(Table4[[#This Row],[DP.Slope '[%']]]=4%,INDEX(RAINFALL_H4_PIPE_SIZE,IFERROR(MATCH(E17,INDEX(RAINFALL_H4_DATA,,IFERROR(MATCH($C$8,RAINFALL_H4_IPH,1),0)+1*ISNA(MATCH($C$8,RAINFALL_H4_IPH,0))),1),0)+1*ISNA(MATCH(E17,INDEX(RAINFALL_H4_DATA,,IFERROR(MATCH($C$8,RAINFALL_H4_IPH,1),0)+1*ISNA(MATCH($C$8,RAINFALL_H4_IPH,0))),0))))))</f>
        <v>4</v>
      </c>
      <c r="I17" s="170">
        <v>0.01</v>
      </c>
      <c r="J17" s="6">
        <f>IF(Table4[[#This Row],[RG.Slope '[%']]]=0.5%,INDEX(RAINFALL_G1_PIPE_SIZE,IFERROR(MATCH(E17,INDEX(RAINFALL_G1_DATA,,IFERROR(MATCH($C$8,RAINFALL_G1_IPH,1),0)+1*ISNA(MATCH($C$8,RAINFALL_G1_IPH,0))),1),0)+1*ISNA(MATCH(E17,INDEX(RAINFALL_G1_DATA,,IFERROR(MATCH($C$8,RAINFALL_G1_IPH,1),0)+1*ISNA(MATCH($C$8,RAINFALL_G1_IPH,0))),0))), IF(Table4[[#This Row],[RG.Slope '[%']]]=1%,INDEX(RAINFALL_G2_PIPE_SIZE,IFERROR(MATCH(E17,INDEX(RAINFALL_G2_DATA,,IFERROR(MATCH($C$8,RAINFALL_G2_IPH,1),0)+1*ISNA(MATCH($C$8,RAINFALL_G2_IPH,0))),1),0)+1*ISNA(MATCH(E17,INDEX(RAINFALL_G2_DATA,,IFERROR(MATCH($C$8,RAINFALL_G2_IPH,1),0)+1*ISNA(MATCH($C$8,RAINFALL_G2_IPH,0))),0))),IF(Table4[[#This Row],[RG.Slope '[%']]]=2%,INDEX(RAINFALL_G3_PIPE_SIZE,IFERROR(MATCH(E17,INDEX(RAINFALL_G3_DATA,,IFERROR(MATCH($C$8,RAINFALL_G3_IPH,1),0)+1*ISNA(MATCH($C$8,RAINFALL_G3_IPH,0))),1),0)+1*ISNA(MATCH(E17,INDEX(RAINFALL_G3_DATA,,IFERROR(MATCH($C$8,RAINFALL_G3_IPH,1),0)+1*ISNA(MATCH($C$8,RAINFALL_G3_IPH,0))),0))),IF(Table4[[#This Row],[RG.Slope '[%']]]=4%,INDEX(RAINFALL_G4_PIPE_SIZE,IFERROR(MATCH(E17,INDEX(RAINFALL_G4_DATA,,IFERROR(MATCH($C$8,RAINFALL_G4_IPH,1),0)+1*ISNA(MATCH($C$8,RAINFALL_G4_IPH,0))),1),0)+1*ISNA(MATCH(E17,INDEX(RAINFALL_G4_DATA,,IFERROR(MATCH($C$8,RAINFALL_G4_IPH,1),0)+1*ISNA(MATCH($C$8,RAINFALL_G4_IPH,0))),0)))))))</f>
        <v>6</v>
      </c>
    </row>
    <row r="18" spans="1:10" x14ac:dyDescent="0.25">
      <c r="A18" s="25">
        <v>9</v>
      </c>
      <c r="B18" s="157" t="s">
        <v>253</v>
      </c>
      <c r="C18" s="6">
        <v>1195</v>
      </c>
      <c r="D18" s="6">
        <v>1</v>
      </c>
      <c r="E18" s="6">
        <f t="shared" si="0"/>
        <v>1200</v>
      </c>
      <c r="F18" s="6">
        <f t="shared" si="1"/>
        <v>3</v>
      </c>
      <c r="G18" s="164">
        <v>0.01</v>
      </c>
      <c r="H18" s="6">
        <f>IF(Table4[[#This Row],[DP.Slope '[%']]]=1%,INDEX(RAINFALL_H1_PIPE_SIZE,IFERROR(MATCH(E18,INDEX(RAINFALL_H1_DATA,,IFERROR(MATCH($C$8,RAINFALL_H1_IPH,1),0)+1*ISNA(MATCH($C$8,RAINFALL_H1_IPH,0))),1),0)+1*ISNA(MATCH(E18,INDEX(RAINFALL_H1_DATA,,IFERROR(MATCH($C$8,RAINFALL_H1_IPH,1),0)+1*ISNA(MATCH($C$8,RAINFALL_H1_IPH,0))),0))), IF(Table4[[#This Row],[DP.Slope '[%']]]=2%,INDEX(RAINFALL_H2_PIPE_SIZE,IFERROR(MATCH(E18,INDEX(RAINFALL_H2_DATA,,IFERROR(MATCH($C$8,RAINFALL_H2_IPH,1),0)+1*ISNA(MATCH($C$8,RAINFALL_H2_IPH,0))),1),0)+1*ISNA(MATCH(E18,INDEX(RAINFALL_H2_DATA,,IFERROR(MATCH($C$8,RAINFALL_H2_IPH,1),0)+1*ISNA(MATCH($C$8,RAINFALL_H2_IPH,0))),0))),IF(Table4[[#This Row],[DP.Slope '[%']]]=4%,INDEX(RAINFALL_H4_PIPE_SIZE,IFERROR(MATCH(E18,INDEX(RAINFALL_H4_DATA,,IFERROR(MATCH($C$8,RAINFALL_H4_IPH,1),0)+1*ISNA(MATCH($C$8,RAINFALL_H4_IPH,0))),1),0)+1*ISNA(MATCH(E18,INDEX(RAINFALL_H4_DATA,,IFERROR(MATCH($C$8,RAINFALL_H4_IPH,1),0)+1*ISNA(MATCH($C$8,RAINFALL_H4_IPH,0))),0))))))</f>
        <v>4</v>
      </c>
      <c r="I18" s="170">
        <v>0.01</v>
      </c>
      <c r="J18" s="6">
        <f>IF(Table4[[#This Row],[RG.Slope '[%']]]=0.5%,INDEX(RAINFALL_G1_PIPE_SIZE,IFERROR(MATCH(E18,INDEX(RAINFALL_G1_DATA,,IFERROR(MATCH($C$8,RAINFALL_G1_IPH,1),0)+1*ISNA(MATCH($C$8,RAINFALL_G1_IPH,0))),1),0)+1*ISNA(MATCH(E18,INDEX(RAINFALL_G1_DATA,,IFERROR(MATCH($C$8,RAINFALL_G1_IPH,1),0)+1*ISNA(MATCH($C$8,RAINFALL_G1_IPH,0))),0))), IF(Table4[[#This Row],[RG.Slope '[%']]]=1%,INDEX(RAINFALL_G2_PIPE_SIZE,IFERROR(MATCH(E18,INDEX(RAINFALL_G2_DATA,,IFERROR(MATCH($C$8,RAINFALL_G2_IPH,1),0)+1*ISNA(MATCH($C$8,RAINFALL_G2_IPH,0))),1),0)+1*ISNA(MATCH(E18,INDEX(RAINFALL_G2_DATA,,IFERROR(MATCH($C$8,RAINFALL_G2_IPH,1),0)+1*ISNA(MATCH($C$8,RAINFALL_G2_IPH,0))),0))),IF(Table4[[#This Row],[RG.Slope '[%']]]=2%,INDEX(RAINFALL_G3_PIPE_SIZE,IFERROR(MATCH(E18,INDEX(RAINFALL_G3_DATA,,IFERROR(MATCH($C$8,RAINFALL_G3_IPH,1),0)+1*ISNA(MATCH($C$8,RAINFALL_G3_IPH,0))),1),0)+1*ISNA(MATCH(E18,INDEX(RAINFALL_G3_DATA,,IFERROR(MATCH($C$8,RAINFALL_G3_IPH,1),0)+1*ISNA(MATCH($C$8,RAINFALL_G3_IPH,0))),0))),IF(Table4[[#This Row],[RG.Slope '[%']]]=4%,INDEX(RAINFALL_G4_PIPE_SIZE,IFERROR(MATCH(E18,INDEX(RAINFALL_G4_DATA,,IFERROR(MATCH($C$8,RAINFALL_G4_IPH,1),0)+1*ISNA(MATCH($C$8,RAINFALL_G4_IPH,0))),1),0)+1*ISNA(MATCH(E18,INDEX(RAINFALL_G4_DATA,,IFERROR(MATCH($C$8,RAINFALL_G4_IPH,1),0)+1*ISNA(MATCH($C$8,RAINFALL_G4_IPH,0))),0)))))))</f>
        <v>6</v>
      </c>
    </row>
    <row r="19" spans="1:10" x14ac:dyDescent="0.25">
      <c r="A19" s="25">
        <v>10</v>
      </c>
      <c r="B19" s="157" t="s">
        <v>254</v>
      </c>
      <c r="C19" s="6">
        <v>1195</v>
      </c>
      <c r="D19" s="6">
        <v>1</v>
      </c>
      <c r="E19" s="6">
        <f t="shared" si="0"/>
        <v>1200</v>
      </c>
      <c r="F19" s="6">
        <f t="shared" si="1"/>
        <v>3</v>
      </c>
      <c r="G19" s="164">
        <v>0.01</v>
      </c>
      <c r="H19" s="6">
        <f>IF(Table4[[#This Row],[DP.Slope '[%']]]=1%,INDEX(RAINFALL_H1_PIPE_SIZE,IFERROR(MATCH(E19,INDEX(RAINFALL_H1_DATA,,IFERROR(MATCH($C$8,RAINFALL_H1_IPH,1),0)+1*ISNA(MATCH($C$8,RAINFALL_H1_IPH,0))),1),0)+1*ISNA(MATCH(E19,INDEX(RAINFALL_H1_DATA,,IFERROR(MATCH($C$8,RAINFALL_H1_IPH,1),0)+1*ISNA(MATCH($C$8,RAINFALL_H1_IPH,0))),0))), IF(Table4[[#This Row],[DP.Slope '[%']]]=2%,INDEX(RAINFALL_H2_PIPE_SIZE,IFERROR(MATCH(E19,INDEX(RAINFALL_H2_DATA,,IFERROR(MATCH($C$8,RAINFALL_H2_IPH,1),0)+1*ISNA(MATCH($C$8,RAINFALL_H2_IPH,0))),1),0)+1*ISNA(MATCH(E19,INDEX(RAINFALL_H2_DATA,,IFERROR(MATCH($C$8,RAINFALL_H2_IPH,1),0)+1*ISNA(MATCH($C$8,RAINFALL_H2_IPH,0))),0))),IF(Table4[[#This Row],[DP.Slope '[%']]]=4%,INDEX(RAINFALL_H4_PIPE_SIZE,IFERROR(MATCH(E19,INDEX(RAINFALL_H4_DATA,,IFERROR(MATCH($C$8,RAINFALL_H4_IPH,1),0)+1*ISNA(MATCH($C$8,RAINFALL_H4_IPH,0))),1),0)+1*ISNA(MATCH(E19,INDEX(RAINFALL_H4_DATA,,IFERROR(MATCH($C$8,RAINFALL_H4_IPH,1),0)+1*ISNA(MATCH($C$8,RAINFALL_H4_IPH,0))),0))))))</f>
        <v>4</v>
      </c>
      <c r="I19" s="170">
        <v>0.01</v>
      </c>
      <c r="J19" s="6">
        <f>IF(Table4[[#This Row],[RG.Slope '[%']]]=0.5%,INDEX(RAINFALL_G1_PIPE_SIZE,IFERROR(MATCH(E19,INDEX(RAINFALL_G1_DATA,,IFERROR(MATCH($C$8,RAINFALL_G1_IPH,1),0)+1*ISNA(MATCH($C$8,RAINFALL_G1_IPH,0))),1),0)+1*ISNA(MATCH(E19,INDEX(RAINFALL_G1_DATA,,IFERROR(MATCH($C$8,RAINFALL_G1_IPH,1),0)+1*ISNA(MATCH($C$8,RAINFALL_G1_IPH,0))),0))), IF(Table4[[#This Row],[RG.Slope '[%']]]=1%,INDEX(RAINFALL_G2_PIPE_SIZE,IFERROR(MATCH(E19,INDEX(RAINFALL_G2_DATA,,IFERROR(MATCH($C$8,RAINFALL_G2_IPH,1),0)+1*ISNA(MATCH($C$8,RAINFALL_G2_IPH,0))),1),0)+1*ISNA(MATCH(E19,INDEX(RAINFALL_G2_DATA,,IFERROR(MATCH($C$8,RAINFALL_G2_IPH,1),0)+1*ISNA(MATCH($C$8,RAINFALL_G2_IPH,0))),0))),IF(Table4[[#This Row],[RG.Slope '[%']]]=2%,INDEX(RAINFALL_G3_PIPE_SIZE,IFERROR(MATCH(E19,INDEX(RAINFALL_G3_DATA,,IFERROR(MATCH($C$8,RAINFALL_G3_IPH,1),0)+1*ISNA(MATCH($C$8,RAINFALL_G3_IPH,0))),1),0)+1*ISNA(MATCH(E19,INDEX(RAINFALL_G3_DATA,,IFERROR(MATCH($C$8,RAINFALL_G3_IPH,1),0)+1*ISNA(MATCH($C$8,RAINFALL_G3_IPH,0))),0))),IF(Table4[[#This Row],[RG.Slope '[%']]]=4%,INDEX(RAINFALL_G4_PIPE_SIZE,IFERROR(MATCH(E19,INDEX(RAINFALL_G4_DATA,,IFERROR(MATCH($C$8,RAINFALL_G4_IPH,1),0)+1*ISNA(MATCH($C$8,RAINFALL_G4_IPH,0))),1),0)+1*ISNA(MATCH(E19,INDEX(RAINFALL_G4_DATA,,IFERROR(MATCH($C$8,RAINFALL_G4_IPH,1),0)+1*ISNA(MATCH($C$8,RAINFALL_G4_IPH,0))),0)))))))</f>
        <v>6</v>
      </c>
    </row>
    <row r="20" spans="1:10" x14ac:dyDescent="0.25">
      <c r="A20" s="25">
        <v>11</v>
      </c>
      <c r="B20" s="157" t="s">
        <v>254</v>
      </c>
      <c r="C20" s="6">
        <v>1195</v>
      </c>
      <c r="D20" s="6">
        <v>1</v>
      </c>
      <c r="E20" s="6">
        <f t="shared" si="0"/>
        <v>1200</v>
      </c>
      <c r="F20" s="6">
        <f t="shared" si="1"/>
        <v>3</v>
      </c>
      <c r="G20" s="164">
        <v>0.01</v>
      </c>
      <c r="H20" s="6">
        <f>IF(Table4[[#This Row],[DP.Slope '[%']]]=1%,INDEX(RAINFALL_H1_PIPE_SIZE,IFERROR(MATCH(E20,INDEX(RAINFALL_H1_DATA,,IFERROR(MATCH($C$8,RAINFALL_H1_IPH,1),0)+1*ISNA(MATCH($C$8,RAINFALL_H1_IPH,0))),1),0)+1*ISNA(MATCH(E20,INDEX(RAINFALL_H1_DATA,,IFERROR(MATCH($C$8,RAINFALL_H1_IPH,1),0)+1*ISNA(MATCH($C$8,RAINFALL_H1_IPH,0))),0))), IF(Table4[[#This Row],[DP.Slope '[%']]]=2%,INDEX(RAINFALL_H2_PIPE_SIZE,IFERROR(MATCH(E20,INDEX(RAINFALL_H2_DATA,,IFERROR(MATCH($C$8,RAINFALL_H2_IPH,1),0)+1*ISNA(MATCH($C$8,RAINFALL_H2_IPH,0))),1),0)+1*ISNA(MATCH(E20,INDEX(RAINFALL_H2_DATA,,IFERROR(MATCH($C$8,RAINFALL_H2_IPH,1),0)+1*ISNA(MATCH($C$8,RAINFALL_H2_IPH,0))),0))),IF(Table4[[#This Row],[DP.Slope '[%']]]=4%,INDEX(RAINFALL_H4_PIPE_SIZE,IFERROR(MATCH(E20,INDEX(RAINFALL_H4_DATA,,IFERROR(MATCH($C$8,RAINFALL_H4_IPH,1),0)+1*ISNA(MATCH($C$8,RAINFALL_H4_IPH,0))),1),0)+1*ISNA(MATCH(E20,INDEX(RAINFALL_H4_DATA,,IFERROR(MATCH($C$8,RAINFALL_H4_IPH,1),0)+1*ISNA(MATCH($C$8,RAINFALL_H4_IPH,0))),0))))))</f>
        <v>4</v>
      </c>
      <c r="I20" s="170">
        <v>0.01</v>
      </c>
      <c r="J20" s="6">
        <f>IF(Table4[[#This Row],[RG.Slope '[%']]]=0.5%,INDEX(RAINFALL_G1_PIPE_SIZE,IFERROR(MATCH(E20,INDEX(RAINFALL_G1_DATA,,IFERROR(MATCH($C$8,RAINFALL_G1_IPH,1),0)+1*ISNA(MATCH($C$8,RAINFALL_G1_IPH,0))),1),0)+1*ISNA(MATCH(E20,INDEX(RAINFALL_G1_DATA,,IFERROR(MATCH($C$8,RAINFALL_G1_IPH,1),0)+1*ISNA(MATCH($C$8,RAINFALL_G1_IPH,0))),0))), IF(Table4[[#This Row],[RG.Slope '[%']]]=1%,INDEX(RAINFALL_G2_PIPE_SIZE,IFERROR(MATCH(E20,INDEX(RAINFALL_G2_DATA,,IFERROR(MATCH($C$8,RAINFALL_G2_IPH,1),0)+1*ISNA(MATCH($C$8,RAINFALL_G2_IPH,0))),1),0)+1*ISNA(MATCH(E20,INDEX(RAINFALL_G2_DATA,,IFERROR(MATCH($C$8,RAINFALL_G2_IPH,1),0)+1*ISNA(MATCH($C$8,RAINFALL_G2_IPH,0))),0))),IF(Table4[[#This Row],[RG.Slope '[%']]]=2%,INDEX(RAINFALL_G3_PIPE_SIZE,IFERROR(MATCH(E20,INDEX(RAINFALL_G3_DATA,,IFERROR(MATCH($C$8,RAINFALL_G3_IPH,1),0)+1*ISNA(MATCH($C$8,RAINFALL_G3_IPH,0))),1),0)+1*ISNA(MATCH(E20,INDEX(RAINFALL_G3_DATA,,IFERROR(MATCH($C$8,RAINFALL_G3_IPH,1),0)+1*ISNA(MATCH($C$8,RAINFALL_G3_IPH,0))),0))),IF(Table4[[#This Row],[RG.Slope '[%']]]=4%,INDEX(RAINFALL_G4_PIPE_SIZE,IFERROR(MATCH(E20,INDEX(RAINFALL_G4_DATA,,IFERROR(MATCH($C$8,RAINFALL_G4_IPH,1),0)+1*ISNA(MATCH($C$8,RAINFALL_G4_IPH,0))),1),0)+1*ISNA(MATCH(E20,INDEX(RAINFALL_G4_DATA,,IFERROR(MATCH($C$8,RAINFALL_G4_IPH,1),0)+1*ISNA(MATCH($C$8,RAINFALL_G4_IPH,0))),0)))))))</f>
        <v>6</v>
      </c>
    </row>
    <row r="21" spans="1:10" x14ac:dyDescent="0.25">
      <c r="G21" s="164"/>
      <c r="H21" s="6"/>
    </row>
    <row r="22" spans="1:10" x14ac:dyDescent="0.25">
      <c r="G22" s="164"/>
      <c r="H22" s="6"/>
    </row>
    <row r="23" spans="1:10" x14ac:dyDescent="0.25">
      <c r="G23" s="164"/>
      <c r="H23" s="6"/>
    </row>
    <row r="24" spans="1:10" x14ac:dyDescent="0.25">
      <c r="G24" s="164"/>
      <c r="H24" s="6"/>
    </row>
    <row r="25" spans="1:10" x14ac:dyDescent="0.25">
      <c r="E25" s="168"/>
      <c r="G25" s="164"/>
      <c r="H25" s="168"/>
    </row>
    <row r="26" spans="1:10" x14ac:dyDescent="0.25">
      <c r="E26" s="168"/>
      <c r="G26" s="164"/>
      <c r="H26" s="168"/>
    </row>
    <row r="27" spans="1:10" x14ac:dyDescent="0.25">
      <c r="E27" s="168"/>
      <c r="G27" s="164"/>
      <c r="H27" s="168"/>
    </row>
    <row r="28" spans="1:10" x14ac:dyDescent="0.25">
      <c r="E28" s="168"/>
      <c r="G28" s="164"/>
      <c r="H28" s="168"/>
    </row>
    <row r="29" spans="1:10" x14ac:dyDescent="0.25">
      <c r="E29" s="168"/>
      <c r="G29" s="164"/>
      <c r="H29" s="168"/>
    </row>
    <row r="30" spans="1:10" x14ac:dyDescent="0.25">
      <c r="E30" s="168"/>
      <c r="G30" s="164"/>
      <c r="H30" s="168"/>
    </row>
    <row r="31" spans="1:10" x14ac:dyDescent="0.25">
      <c r="E31" s="168"/>
      <c r="G31" s="164"/>
      <c r="H31" s="168"/>
    </row>
    <row r="32" spans="1:10" x14ac:dyDescent="0.25">
      <c r="E32" s="168"/>
      <c r="G32" s="164"/>
      <c r="H32" s="168"/>
    </row>
    <row r="33" spans="5:8" x14ac:dyDescent="0.25">
      <c r="E33" s="168"/>
      <c r="G33" s="164"/>
      <c r="H33" s="168"/>
    </row>
    <row r="34" spans="5:8" x14ac:dyDescent="0.25">
      <c r="E34" s="168"/>
      <c r="G34" s="164"/>
      <c r="H34" s="168"/>
    </row>
    <row r="35" spans="5:8" x14ac:dyDescent="0.25">
      <c r="E35" s="168"/>
      <c r="G35" s="164"/>
      <c r="H35" s="168"/>
    </row>
    <row r="36" spans="5:8" x14ac:dyDescent="0.25">
      <c r="E36" s="168"/>
      <c r="G36" s="164"/>
      <c r="H36" s="168"/>
    </row>
    <row r="37" spans="5:8" x14ac:dyDescent="0.25">
      <c r="E37" s="168"/>
      <c r="G37" s="164"/>
      <c r="H37" s="168"/>
    </row>
    <row r="38" spans="5:8" x14ac:dyDescent="0.25">
      <c r="E38" s="168"/>
      <c r="G38" s="164"/>
      <c r="H38" s="168"/>
    </row>
    <row r="39" spans="5:8" x14ac:dyDescent="0.25">
      <c r="E39" s="168"/>
      <c r="G39" s="164"/>
      <c r="H39" s="168"/>
    </row>
  </sheetData>
  <dataConsolidate/>
  <mergeCells count="7">
    <mergeCell ref="G8:H8"/>
    <mergeCell ref="I8:J8"/>
    <mergeCell ref="A1:J1"/>
    <mergeCell ref="B2:J2"/>
    <mergeCell ref="B3:J3"/>
    <mergeCell ref="B4:J4"/>
    <mergeCell ref="B5:J5"/>
  </mergeCells>
  <dataValidations count="3">
    <dataValidation type="list" allowBlank="1" showInputMessage="1" showErrorMessage="1" sqref="G10:G20">
      <formula1>"1%,2%,4%"</formula1>
    </dataValidation>
    <dataValidation type="list" allowBlank="1" showInputMessage="1" showErrorMessage="1" sqref="E8">
      <formula1>"Exact, Approximate"</formula1>
    </dataValidation>
    <dataValidation type="list" allowBlank="1" showInputMessage="1" showErrorMessage="1" sqref="I10:I20">
      <formula1>"0.5%,1%,2%,4%"</formula1>
    </dataValidation>
  </dataValidations>
  <pageMargins left="0.7" right="0.7" top="0.75" bottom="0.75" header="0.3" footer="0.3"/>
  <pageSetup scale="78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- RAINFALL'!$M$4:$M$23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3"/>
  <sheetViews>
    <sheetView topLeftCell="A61" workbookViewId="0">
      <selection activeCell="D35" sqref="D35"/>
    </sheetView>
  </sheetViews>
  <sheetFormatPr defaultRowHeight="15" x14ac:dyDescent="0.25"/>
  <cols>
    <col min="1" max="1" width="16.28515625" customWidth="1"/>
    <col min="13" max="13" width="15.85546875" bestFit="1" customWidth="1"/>
  </cols>
  <sheetData>
    <row r="1" spans="1:14" x14ac:dyDescent="0.25">
      <c r="A1" s="70" t="s">
        <v>226</v>
      </c>
    </row>
    <row r="2" spans="1:14" x14ac:dyDescent="0.25">
      <c r="A2" s="70"/>
    </row>
    <row r="3" spans="1:14" x14ac:dyDescent="0.25">
      <c r="B3" s="14" t="s">
        <v>224</v>
      </c>
      <c r="E3" s="14" t="s">
        <v>261</v>
      </c>
      <c r="M3" s="14" t="s">
        <v>227</v>
      </c>
      <c r="N3" s="63" t="s">
        <v>228</v>
      </c>
    </row>
    <row r="4" spans="1:14" x14ac:dyDescent="0.25">
      <c r="A4" s="63" t="s">
        <v>225</v>
      </c>
      <c r="B4" s="25">
        <v>1</v>
      </c>
      <c r="C4" s="25">
        <v>1.5</v>
      </c>
      <c r="D4" s="25">
        <v>2</v>
      </c>
      <c r="E4" s="25">
        <v>2.5</v>
      </c>
      <c r="F4" s="25">
        <v>3</v>
      </c>
      <c r="G4" s="25">
        <v>4</v>
      </c>
      <c r="H4" s="25">
        <v>5</v>
      </c>
      <c r="I4" s="25">
        <v>6</v>
      </c>
      <c r="J4" s="25">
        <v>7</v>
      </c>
      <c r="K4" s="25">
        <v>8</v>
      </c>
      <c r="M4" t="s">
        <v>238</v>
      </c>
      <c r="N4" s="156">
        <v>2.7</v>
      </c>
    </row>
    <row r="5" spans="1:14" x14ac:dyDescent="0.25">
      <c r="A5" s="25">
        <v>2</v>
      </c>
      <c r="B5" s="25">
        <v>2880</v>
      </c>
      <c r="C5" s="25">
        <v>1920</v>
      </c>
      <c r="D5" s="25">
        <v>1440</v>
      </c>
      <c r="E5" s="25">
        <v>1150</v>
      </c>
      <c r="F5" s="25">
        <v>960</v>
      </c>
      <c r="G5" s="25">
        <v>720</v>
      </c>
      <c r="H5" s="25">
        <v>575</v>
      </c>
      <c r="I5" s="25">
        <v>480</v>
      </c>
      <c r="J5" s="25">
        <v>410</v>
      </c>
      <c r="K5" s="25">
        <v>360</v>
      </c>
      <c r="M5" t="s">
        <v>239</v>
      </c>
      <c r="N5" s="156">
        <v>2.8</v>
      </c>
    </row>
    <row r="6" spans="1:14" x14ac:dyDescent="0.25">
      <c r="A6" s="25">
        <v>3</v>
      </c>
      <c r="B6" s="25">
        <v>8880</v>
      </c>
      <c r="C6" s="25">
        <v>5860</v>
      </c>
      <c r="D6" s="25">
        <v>4440</v>
      </c>
      <c r="E6" s="25">
        <v>3520</v>
      </c>
      <c r="F6" s="25">
        <v>2930</v>
      </c>
      <c r="G6" s="25">
        <v>2200</v>
      </c>
      <c r="H6" s="25">
        <v>1760</v>
      </c>
      <c r="I6" s="25">
        <v>1470</v>
      </c>
      <c r="J6" s="25">
        <v>1260</v>
      </c>
      <c r="K6" s="25">
        <v>1100</v>
      </c>
      <c r="M6" t="s">
        <v>240</v>
      </c>
      <c r="N6" s="156">
        <v>2.6</v>
      </c>
    </row>
    <row r="7" spans="1:14" x14ac:dyDescent="0.25">
      <c r="A7" s="25">
        <v>4</v>
      </c>
      <c r="B7" s="25">
        <v>18400</v>
      </c>
      <c r="C7" s="25">
        <v>12700</v>
      </c>
      <c r="D7" s="25">
        <v>9200</v>
      </c>
      <c r="E7" s="25">
        <v>7360</v>
      </c>
      <c r="F7" s="25">
        <v>6130</v>
      </c>
      <c r="G7" s="25">
        <v>4600</v>
      </c>
      <c r="H7" s="25">
        <v>3680</v>
      </c>
      <c r="I7" s="25">
        <v>3070</v>
      </c>
      <c r="J7" s="25">
        <v>2630</v>
      </c>
      <c r="K7" s="25">
        <v>2300</v>
      </c>
      <c r="M7" t="s">
        <v>241</v>
      </c>
      <c r="N7" s="156">
        <v>4.3</v>
      </c>
    </row>
    <row r="8" spans="1:14" x14ac:dyDescent="0.25">
      <c r="A8" s="25">
        <v>5</v>
      </c>
      <c r="B8" s="25">
        <v>24600</v>
      </c>
      <c r="C8" s="25">
        <v>23050</v>
      </c>
      <c r="D8" s="25">
        <v>17300</v>
      </c>
      <c r="E8" s="25">
        <v>13840</v>
      </c>
      <c r="F8" s="25">
        <v>11530</v>
      </c>
      <c r="G8" s="25">
        <v>8650</v>
      </c>
      <c r="H8" s="25">
        <v>6920</v>
      </c>
      <c r="I8" s="25">
        <v>5765</v>
      </c>
      <c r="J8" s="25">
        <v>4945</v>
      </c>
      <c r="K8" s="25">
        <v>4325</v>
      </c>
      <c r="M8" t="s">
        <v>242</v>
      </c>
      <c r="N8" s="156">
        <v>4.3</v>
      </c>
    </row>
    <row r="9" spans="1:14" x14ac:dyDescent="0.25">
      <c r="A9" s="25">
        <v>6</v>
      </c>
      <c r="B9" s="25">
        <v>54000</v>
      </c>
      <c r="C9" s="25">
        <v>36000</v>
      </c>
      <c r="D9" s="25">
        <v>27000</v>
      </c>
      <c r="E9" s="25">
        <v>21600</v>
      </c>
      <c r="F9" s="25">
        <v>18000</v>
      </c>
      <c r="G9" s="25">
        <v>13500</v>
      </c>
      <c r="H9" s="25">
        <v>10800</v>
      </c>
      <c r="I9" s="25">
        <v>9000</v>
      </c>
      <c r="J9" s="25">
        <v>7715</v>
      </c>
      <c r="K9" s="25">
        <v>6750</v>
      </c>
      <c r="M9" t="s">
        <v>243</v>
      </c>
      <c r="N9" s="156">
        <v>4.7</v>
      </c>
    </row>
    <row r="10" spans="1:14" x14ac:dyDescent="0.25">
      <c r="A10" s="25">
        <v>8</v>
      </c>
      <c r="B10" s="25">
        <v>116000</v>
      </c>
      <c r="C10" s="25">
        <v>77400</v>
      </c>
      <c r="D10" s="25">
        <v>58000</v>
      </c>
      <c r="E10" s="25">
        <v>46400</v>
      </c>
      <c r="F10" s="25">
        <v>38660</v>
      </c>
      <c r="G10" s="25">
        <v>29000</v>
      </c>
      <c r="H10" s="25">
        <v>23200</v>
      </c>
      <c r="I10" s="25">
        <v>19315</v>
      </c>
      <c r="J10" s="25">
        <v>16570</v>
      </c>
      <c r="K10" s="25">
        <v>14500</v>
      </c>
      <c r="M10" t="s">
        <v>244</v>
      </c>
      <c r="N10" s="156">
        <v>4.5999999999999996</v>
      </c>
    </row>
    <row r="11" spans="1:14" x14ac:dyDescent="0.25">
      <c r="M11" t="s">
        <v>245</v>
      </c>
      <c r="N11" s="156">
        <v>4.5</v>
      </c>
    </row>
    <row r="12" spans="1:14" x14ac:dyDescent="0.25">
      <c r="A12" s="163">
        <v>0.01</v>
      </c>
      <c r="B12" s="14" t="s">
        <v>224</v>
      </c>
      <c r="E12" s="14" t="s">
        <v>262</v>
      </c>
      <c r="M12" t="s">
        <v>229</v>
      </c>
      <c r="N12" s="156">
        <v>2.5</v>
      </c>
    </row>
    <row r="13" spans="1:14" x14ac:dyDescent="0.25">
      <c r="A13" s="63" t="s">
        <v>225</v>
      </c>
      <c r="B13" s="25">
        <v>1</v>
      </c>
      <c r="C13" s="25">
        <v>2</v>
      </c>
      <c r="D13" s="25">
        <v>3</v>
      </c>
      <c r="E13" s="25">
        <v>4</v>
      </c>
      <c r="F13" s="25">
        <v>5</v>
      </c>
      <c r="G13" s="25">
        <v>6</v>
      </c>
      <c r="M13" t="s">
        <v>230</v>
      </c>
      <c r="N13" s="156">
        <v>2.2999999999999998</v>
      </c>
    </row>
    <row r="14" spans="1:14" x14ac:dyDescent="0.25">
      <c r="A14">
        <v>3</v>
      </c>
      <c r="B14" s="25">
        <v>3288</v>
      </c>
      <c r="C14" s="25">
        <v>1644</v>
      </c>
      <c r="D14" s="25">
        <v>1096</v>
      </c>
      <c r="E14" s="25">
        <v>822</v>
      </c>
      <c r="F14" s="25">
        <v>657</v>
      </c>
      <c r="G14" s="25">
        <v>548</v>
      </c>
      <c r="M14" t="s">
        <v>231</v>
      </c>
      <c r="N14" s="156">
        <v>2.2999999999999998</v>
      </c>
    </row>
    <row r="15" spans="1:14" x14ac:dyDescent="0.25">
      <c r="A15">
        <v>4</v>
      </c>
      <c r="B15" s="25">
        <v>7520</v>
      </c>
      <c r="C15" s="25">
        <v>3760</v>
      </c>
      <c r="D15" s="25">
        <v>2506</v>
      </c>
      <c r="E15" s="25">
        <v>1800</v>
      </c>
      <c r="F15" s="25">
        <v>1504</v>
      </c>
      <c r="G15" s="25">
        <v>1253</v>
      </c>
      <c r="M15" t="s">
        <v>232</v>
      </c>
      <c r="N15" s="156">
        <v>2.7</v>
      </c>
    </row>
    <row r="16" spans="1:14" x14ac:dyDescent="0.25">
      <c r="A16">
        <v>5</v>
      </c>
      <c r="B16" s="25">
        <v>13360</v>
      </c>
      <c r="C16" s="25">
        <v>6680</v>
      </c>
      <c r="D16" s="25">
        <v>4453</v>
      </c>
      <c r="E16" s="25">
        <v>3340</v>
      </c>
      <c r="F16" s="25">
        <v>2672</v>
      </c>
      <c r="G16" s="25">
        <v>2227</v>
      </c>
      <c r="M16" t="s">
        <v>233</v>
      </c>
      <c r="N16" s="156">
        <v>3</v>
      </c>
    </row>
    <row r="17" spans="1:14" x14ac:dyDescent="0.25">
      <c r="A17">
        <v>6</v>
      </c>
      <c r="B17" s="25">
        <v>21400</v>
      </c>
      <c r="C17" s="25">
        <v>10700</v>
      </c>
      <c r="D17" s="25">
        <v>7133</v>
      </c>
      <c r="E17" s="25">
        <v>5350</v>
      </c>
      <c r="F17" s="25">
        <v>4280</v>
      </c>
      <c r="G17" s="25">
        <v>3566</v>
      </c>
      <c r="M17" t="s">
        <v>234</v>
      </c>
      <c r="N17" s="156">
        <v>2.2000000000000002</v>
      </c>
    </row>
    <row r="18" spans="1:14" x14ac:dyDescent="0.25">
      <c r="A18">
        <v>8</v>
      </c>
      <c r="B18" s="25">
        <v>46000</v>
      </c>
      <c r="C18" s="25">
        <v>23000</v>
      </c>
      <c r="D18" s="25">
        <v>15330</v>
      </c>
      <c r="E18" s="25">
        <v>11500</v>
      </c>
      <c r="F18" s="25">
        <v>9200</v>
      </c>
      <c r="G18" s="25">
        <v>7600</v>
      </c>
      <c r="M18" t="s">
        <v>235</v>
      </c>
      <c r="N18" s="156">
        <v>2.9</v>
      </c>
    </row>
    <row r="19" spans="1:14" x14ac:dyDescent="0.25">
      <c r="A19">
        <v>10</v>
      </c>
      <c r="B19" s="25">
        <v>82800</v>
      </c>
      <c r="C19" s="25">
        <v>41400</v>
      </c>
      <c r="D19" s="25">
        <v>27600</v>
      </c>
      <c r="E19" s="25">
        <v>20700</v>
      </c>
      <c r="F19" s="25">
        <v>16580</v>
      </c>
      <c r="G19" s="25">
        <v>13800</v>
      </c>
      <c r="M19" t="s">
        <v>236</v>
      </c>
      <c r="N19" s="156">
        <v>3.1</v>
      </c>
    </row>
    <row r="20" spans="1:14" x14ac:dyDescent="0.25">
      <c r="A20">
        <v>12</v>
      </c>
      <c r="B20" s="25">
        <v>133200</v>
      </c>
      <c r="C20" s="25">
        <v>66600</v>
      </c>
      <c r="D20" s="25">
        <v>44400</v>
      </c>
      <c r="E20" s="25">
        <v>33300</v>
      </c>
      <c r="F20" s="25">
        <v>26650</v>
      </c>
      <c r="G20" s="25">
        <v>22200</v>
      </c>
      <c r="M20" t="s">
        <v>237</v>
      </c>
      <c r="N20" s="156">
        <v>3.1</v>
      </c>
    </row>
    <row r="21" spans="1:14" x14ac:dyDescent="0.25">
      <c r="A21">
        <v>15</v>
      </c>
      <c r="B21" s="25">
        <v>218000</v>
      </c>
      <c r="C21" s="25">
        <v>109000</v>
      </c>
      <c r="D21" s="25">
        <v>72800</v>
      </c>
      <c r="E21" s="25">
        <v>59500</v>
      </c>
      <c r="F21" s="25">
        <v>47600</v>
      </c>
      <c r="G21" s="25">
        <v>39650</v>
      </c>
      <c r="M21" t="s">
        <v>258</v>
      </c>
      <c r="N21" s="156">
        <v>2.5</v>
      </c>
    </row>
    <row r="22" spans="1:14" x14ac:dyDescent="0.25">
      <c r="M22" t="s">
        <v>259</v>
      </c>
      <c r="N22" s="156">
        <v>2.8</v>
      </c>
    </row>
    <row r="23" spans="1:14" x14ac:dyDescent="0.25">
      <c r="A23" s="163">
        <v>0.02</v>
      </c>
      <c r="B23" s="14" t="s">
        <v>224</v>
      </c>
      <c r="E23" s="14" t="s">
        <v>262</v>
      </c>
      <c r="M23" t="s">
        <v>260</v>
      </c>
      <c r="N23" s="156">
        <v>2.7</v>
      </c>
    </row>
    <row r="24" spans="1:14" x14ac:dyDescent="0.25">
      <c r="A24" s="63" t="s">
        <v>225</v>
      </c>
      <c r="B24" s="25">
        <v>1</v>
      </c>
      <c r="C24" s="25">
        <v>2</v>
      </c>
      <c r="D24" s="25">
        <v>3</v>
      </c>
      <c r="E24" s="25">
        <v>4</v>
      </c>
      <c r="F24" s="25">
        <v>5</v>
      </c>
      <c r="G24" s="25">
        <v>6</v>
      </c>
    </row>
    <row r="25" spans="1:14" x14ac:dyDescent="0.25">
      <c r="A25">
        <v>3</v>
      </c>
      <c r="B25" s="25">
        <v>4640</v>
      </c>
      <c r="C25" s="25">
        <v>2320</v>
      </c>
      <c r="D25" s="25">
        <v>1546</v>
      </c>
      <c r="E25" s="25">
        <v>1160</v>
      </c>
      <c r="F25" s="25">
        <v>928</v>
      </c>
      <c r="G25" s="25">
        <v>773</v>
      </c>
    </row>
    <row r="26" spans="1:14" x14ac:dyDescent="0.25">
      <c r="A26">
        <v>4</v>
      </c>
      <c r="B26" s="25">
        <v>10600</v>
      </c>
      <c r="C26" s="25">
        <v>5300</v>
      </c>
      <c r="D26" s="25">
        <v>3533</v>
      </c>
      <c r="E26" s="25">
        <v>2650</v>
      </c>
      <c r="F26" s="25">
        <v>2120</v>
      </c>
      <c r="G26" s="25">
        <v>1766</v>
      </c>
    </row>
    <row r="27" spans="1:14" x14ac:dyDescent="0.25">
      <c r="A27">
        <v>5</v>
      </c>
      <c r="B27" s="25">
        <v>18880</v>
      </c>
      <c r="C27" s="25">
        <v>9440</v>
      </c>
      <c r="D27" s="25">
        <v>6293</v>
      </c>
      <c r="E27" s="25">
        <v>4720</v>
      </c>
      <c r="F27" s="25">
        <v>3776</v>
      </c>
      <c r="G27" s="25">
        <v>3146</v>
      </c>
    </row>
    <row r="28" spans="1:14" x14ac:dyDescent="0.25">
      <c r="A28">
        <v>6</v>
      </c>
      <c r="B28" s="25">
        <v>30200</v>
      </c>
      <c r="C28" s="25">
        <v>15100</v>
      </c>
      <c r="D28" s="25">
        <v>10066</v>
      </c>
      <c r="E28" s="25">
        <v>7550</v>
      </c>
      <c r="F28" s="25">
        <v>6040</v>
      </c>
      <c r="G28" s="25">
        <v>5033</v>
      </c>
    </row>
    <row r="29" spans="1:14" x14ac:dyDescent="0.25">
      <c r="A29">
        <v>8</v>
      </c>
      <c r="B29" s="25">
        <v>65200</v>
      </c>
      <c r="C29" s="25">
        <v>32600</v>
      </c>
      <c r="D29" s="25">
        <v>21733</v>
      </c>
      <c r="E29" s="25">
        <v>16300</v>
      </c>
      <c r="F29" s="25">
        <v>13040</v>
      </c>
      <c r="G29" s="25">
        <v>10866</v>
      </c>
    </row>
    <row r="30" spans="1:14" x14ac:dyDescent="0.25">
      <c r="A30">
        <v>10</v>
      </c>
      <c r="B30" s="25">
        <v>116800</v>
      </c>
      <c r="C30" s="25">
        <v>58400</v>
      </c>
      <c r="D30" s="25">
        <v>38950</v>
      </c>
      <c r="E30" s="25">
        <v>29200</v>
      </c>
      <c r="F30" s="25">
        <v>23350</v>
      </c>
      <c r="G30" s="25">
        <v>19450</v>
      </c>
    </row>
    <row r="31" spans="1:14" x14ac:dyDescent="0.25">
      <c r="A31">
        <v>12</v>
      </c>
      <c r="B31" s="25">
        <v>188000</v>
      </c>
      <c r="C31" s="25">
        <v>94000</v>
      </c>
      <c r="D31" s="25">
        <v>62600</v>
      </c>
      <c r="E31" s="25">
        <v>47000</v>
      </c>
      <c r="F31" s="25">
        <v>37600</v>
      </c>
      <c r="G31" s="25">
        <v>31350</v>
      </c>
    </row>
    <row r="32" spans="1:14" x14ac:dyDescent="0.25">
      <c r="A32">
        <v>15</v>
      </c>
      <c r="B32" s="25">
        <v>336000</v>
      </c>
      <c r="C32" s="25">
        <v>168000</v>
      </c>
      <c r="D32" s="25">
        <v>112000</v>
      </c>
      <c r="E32" s="25">
        <v>84000</v>
      </c>
      <c r="F32" s="25">
        <v>67250</v>
      </c>
      <c r="G32" s="25">
        <v>56000</v>
      </c>
    </row>
    <row r="34" spans="1:7" x14ac:dyDescent="0.25">
      <c r="A34" s="163">
        <v>0.04</v>
      </c>
      <c r="B34" s="14" t="s">
        <v>224</v>
      </c>
      <c r="E34" s="14" t="s">
        <v>262</v>
      </c>
    </row>
    <row r="35" spans="1:7" x14ac:dyDescent="0.25">
      <c r="A35" s="63" t="s">
        <v>225</v>
      </c>
      <c r="B35" s="25">
        <v>1</v>
      </c>
      <c r="C35" s="25">
        <v>2</v>
      </c>
      <c r="D35" s="25">
        <v>3</v>
      </c>
      <c r="E35" s="25">
        <v>4</v>
      </c>
      <c r="F35" s="25">
        <v>5</v>
      </c>
      <c r="G35" s="25">
        <v>6</v>
      </c>
    </row>
    <row r="36" spans="1:7" x14ac:dyDescent="0.25">
      <c r="A36">
        <v>3</v>
      </c>
      <c r="B36" s="25">
        <v>6576</v>
      </c>
      <c r="C36" s="25">
        <v>3288</v>
      </c>
      <c r="D36" s="25">
        <v>2295</v>
      </c>
      <c r="E36" s="25">
        <v>1644</v>
      </c>
      <c r="F36" s="25">
        <v>1310</v>
      </c>
      <c r="G36" s="25">
        <v>1096</v>
      </c>
    </row>
    <row r="37" spans="1:7" x14ac:dyDescent="0.25">
      <c r="A37">
        <v>4</v>
      </c>
      <c r="B37" s="25">
        <v>15040</v>
      </c>
      <c r="C37" s="25">
        <v>7520</v>
      </c>
      <c r="D37" s="25">
        <v>5010</v>
      </c>
      <c r="E37" s="25">
        <v>3760</v>
      </c>
      <c r="F37" s="25">
        <v>3010</v>
      </c>
      <c r="G37" s="25">
        <v>2500</v>
      </c>
    </row>
    <row r="38" spans="1:7" x14ac:dyDescent="0.25">
      <c r="A38">
        <v>5</v>
      </c>
      <c r="B38" s="25">
        <v>26720</v>
      </c>
      <c r="C38" s="25">
        <v>13360</v>
      </c>
      <c r="D38" s="25">
        <v>8900</v>
      </c>
      <c r="E38" s="25">
        <v>6680</v>
      </c>
      <c r="F38" s="25">
        <v>5320</v>
      </c>
      <c r="G38" s="25">
        <v>4450</v>
      </c>
    </row>
    <row r="39" spans="1:7" x14ac:dyDescent="0.25">
      <c r="A39">
        <v>6</v>
      </c>
      <c r="B39" s="25">
        <v>42800</v>
      </c>
      <c r="C39" s="25">
        <v>21400</v>
      </c>
      <c r="D39" s="25">
        <v>13700</v>
      </c>
      <c r="E39" s="25">
        <v>10700</v>
      </c>
      <c r="F39" s="25">
        <v>8580</v>
      </c>
      <c r="G39" s="25">
        <v>7140</v>
      </c>
    </row>
    <row r="40" spans="1:7" x14ac:dyDescent="0.25">
      <c r="A40">
        <v>8</v>
      </c>
      <c r="B40" s="25">
        <v>92000</v>
      </c>
      <c r="C40" s="25">
        <v>46000</v>
      </c>
      <c r="D40" s="25">
        <v>30650</v>
      </c>
      <c r="E40" s="25">
        <v>23000</v>
      </c>
      <c r="F40" s="25">
        <v>18400</v>
      </c>
      <c r="G40" s="25">
        <v>15320</v>
      </c>
    </row>
    <row r="41" spans="1:7" x14ac:dyDescent="0.25">
      <c r="A41">
        <v>10</v>
      </c>
      <c r="B41" s="25">
        <v>171600</v>
      </c>
      <c r="C41" s="25">
        <v>85800</v>
      </c>
      <c r="D41" s="25">
        <v>55200</v>
      </c>
      <c r="E41" s="25">
        <v>41400</v>
      </c>
      <c r="F41" s="25">
        <v>33150</v>
      </c>
      <c r="G41" s="25">
        <v>27600</v>
      </c>
    </row>
    <row r="42" spans="1:7" x14ac:dyDescent="0.25">
      <c r="A42">
        <v>12</v>
      </c>
      <c r="B42" s="25">
        <v>266400</v>
      </c>
      <c r="C42" s="25">
        <v>133200</v>
      </c>
      <c r="D42" s="25">
        <v>88800</v>
      </c>
      <c r="E42" s="25">
        <v>66600</v>
      </c>
      <c r="F42" s="25">
        <v>53200</v>
      </c>
      <c r="G42" s="25">
        <v>44400</v>
      </c>
    </row>
    <row r="43" spans="1:7" x14ac:dyDescent="0.25">
      <c r="A43">
        <v>15</v>
      </c>
      <c r="B43" s="25">
        <v>476000</v>
      </c>
      <c r="C43" s="25">
        <v>238000</v>
      </c>
      <c r="D43" s="25">
        <v>158800</v>
      </c>
      <c r="E43" s="25">
        <v>119000</v>
      </c>
      <c r="F43" s="25">
        <v>95300</v>
      </c>
      <c r="G43" s="25">
        <v>79250</v>
      </c>
    </row>
    <row r="45" spans="1:7" x14ac:dyDescent="0.25">
      <c r="A45" s="169">
        <v>5.0000000000000001E-3</v>
      </c>
      <c r="B45" s="14" t="s">
        <v>224</v>
      </c>
      <c r="E45" s="14" t="s">
        <v>267</v>
      </c>
    </row>
    <row r="46" spans="1:7" x14ac:dyDescent="0.25">
      <c r="A46" s="63" t="s">
        <v>225</v>
      </c>
      <c r="B46" s="25">
        <v>1</v>
      </c>
      <c r="C46" s="25">
        <v>2</v>
      </c>
      <c r="D46" s="25">
        <v>3</v>
      </c>
      <c r="E46" s="25">
        <v>4</v>
      </c>
      <c r="F46" s="25">
        <v>5</v>
      </c>
      <c r="G46" s="25">
        <v>6</v>
      </c>
    </row>
    <row r="47" spans="1:7" x14ac:dyDescent="0.25">
      <c r="A47">
        <v>3</v>
      </c>
      <c r="B47" s="25">
        <v>680</v>
      </c>
      <c r="C47" s="25">
        <v>340</v>
      </c>
      <c r="D47" s="25">
        <v>226</v>
      </c>
      <c r="E47" s="25">
        <v>170</v>
      </c>
      <c r="F47" s="25">
        <v>136</v>
      </c>
      <c r="G47" s="25">
        <v>113</v>
      </c>
    </row>
    <row r="48" spans="1:7" x14ac:dyDescent="0.25">
      <c r="A48">
        <v>4</v>
      </c>
      <c r="B48" s="25">
        <v>1440</v>
      </c>
      <c r="C48" s="25">
        <v>720</v>
      </c>
      <c r="D48" s="25">
        <v>480</v>
      </c>
      <c r="E48" s="25">
        <v>360</v>
      </c>
      <c r="F48" s="25">
        <v>288</v>
      </c>
      <c r="G48" s="25">
        <v>240</v>
      </c>
    </row>
    <row r="49" spans="1:7" x14ac:dyDescent="0.25">
      <c r="A49">
        <v>5</v>
      </c>
      <c r="B49" s="25">
        <v>2500</v>
      </c>
      <c r="C49" s="25">
        <v>1250</v>
      </c>
      <c r="D49" s="25">
        <v>834</v>
      </c>
      <c r="E49" s="25">
        <v>625</v>
      </c>
      <c r="F49" s="25">
        <v>500</v>
      </c>
      <c r="G49" s="25">
        <v>416</v>
      </c>
    </row>
    <row r="50" spans="1:7" x14ac:dyDescent="0.25">
      <c r="A50">
        <v>6</v>
      </c>
      <c r="B50" s="25">
        <v>3840</v>
      </c>
      <c r="C50" s="25">
        <v>1920</v>
      </c>
      <c r="D50" s="25">
        <v>1280</v>
      </c>
      <c r="E50" s="25">
        <v>960</v>
      </c>
      <c r="F50" s="25">
        <v>768</v>
      </c>
      <c r="G50" s="25">
        <v>640</v>
      </c>
    </row>
    <row r="51" spans="1:7" x14ac:dyDescent="0.25">
      <c r="A51">
        <v>7</v>
      </c>
      <c r="B51" s="25">
        <v>5520</v>
      </c>
      <c r="C51" s="25">
        <v>2760</v>
      </c>
      <c r="D51" s="25">
        <v>1840</v>
      </c>
      <c r="E51" s="25">
        <v>1380</v>
      </c>
      <c r="F51" s="25">
        <v>1100</v>
      </c>
      <c r="G51" s="25">
        <v>918</v>
      </c>
    </row>
    <row r="52" spans="1:7" x14ac:dyDescent="0.25">
      <c r="A52">
        <v>8</v>
      </c>
      <c r="B52" s="25">
        <v>7960</v>
      </c>
      <c r="C52" s="25">
        <v>3980</v>
      </c>
      <c r="D52" s="25">
        <v>2655</v>
      </c>
      <c r="E52" s="25">
        <v>1990</v>
      </c>
      <c r="F52" s="25">
        <v>1590</v>
      </c>
      <c r="G52" s="25">
        <v>1325</v>
      </c>
    </row>
    <row r="53" spans="1:7" x14ac:dyDescent="0.25">
      <c r="A53">
        <v>10</v>
      </c>
      <c r="B53" s="25">
        <v>14400</v>
      </c>
      <c r="C53" s="25">
        <v>7200</v>
      </c>
      <c r="D53" s="25">
        <v>4800</v>
      </c>
      <c r="E53" s="25">
        <v>3600</v>
      </c>
      <c r="F53" s="25">
        <v>2880</v>
      </c>
      <c r="G53" s="25">
        <v>2400</v>
      </c>
    </row>
    <row r="54" spans="1:7" x14ac:dyDescent="0.25">
      <c r="B54" s="25"/>
      <c r="C54" s="25"/>
      <c r="D54" s="25"/>
      <c r="E54" s="25"/>
      <c r="F54" s="25"/>
      <c r="G54" s="25"/>
    </row>
    <row r="55" spans="1:7" x14ac:dyDescent="0.25">
      <c r="A55" s="169">
        <v>0.01</v>
      </c>
      <c r="B55" s="14" t="s">
        <v>224</v>
      </c>
      <c r="E55" s="14" t="s">
        <v>267</v>
      </c>
    </row>
    <row r="56" spans="1:7" x14ac:dyDescent="0.25">
      <c r="A56" s="63" t="s">
        <v>225</v>
      </c>
      <c r="B56" s="25">
        <v>1</v>
      </c>
      <c r="C56" s="25">
        <v>2</v>
      </c>
      <c r="D56" s="25">
        <v>3</v>
      </c>
      <c r="E56" s="25">
        <v>4</v>
      </c>
      <c r="F56" s="25">
        <v>5</v>
      </c>
      <c r="G56" s="25">
        <v>6</v>
      </c>
    </row>
    <row r="57" spans="1:7" x14ac:dyDescent="0.25">
      <c r="A57">
        <v>3</v>
      </c>
      <c r="B57" s="25">
        <v>960</v>
      </c>
      <c r="C57" s="25">
        <v>480</v>
      </c>
      <c r="D57" s="25">
        <v>320</v>
      </c>
      <c r="E57" s="25">
        <v>240</v>
      </c>
      <c r="F57" s="25">
        <v>192</v>
      </c>
      <c r="G57" s="25">
        <v>160</v>
      </c>
    </row>
    <row r="58" spans="1:7" x14ac:dyDescent="0.25">
      <c r="A58">
        <v>4</v>
      </c>
      <c r="B58" s="25">
        <v>2040</v>
      </c>
      <c r="C58" s="25">
        <v>1020</v>
      </c>
      <c r="D58" s="25">
        <v>681</v>
      </c>
      <c r="E58" s="25">
        <v>510</v>
      </c>
      <c r="F58" s="25">
        <v>408</v>
      </c>
      <c r="G58" s="25">
        <v>340</v>
      </c>
    </row>
    <row r="59" spans="1:7" x14ac:dyDescent="0.25">
      <c r="A59">
        <v>5</v>
      </c>
      <c r="B59" s="25">
        <v>3520</v>
      </c>
      <c r="C59" s="25">
        <v>1760</v>
      </c>
      <c r="D59" s="25">
        <v>1172</v>
      </c>
      <c r="E59" s="25">
        <v>880</v>
      </c>
      <c r="F59" s="25">
        <v>704</v>
      </c>
      <c r="G59" s="25">
        <v>587</v>
      </c>
    </row>
    <row r="60" spans="1:7" x14ac:dyDescent="0.25">
      <c r="A60">
        <v>6</v>
      </c>
      <c r="B60" s="25">
        <v>5440</v>
      </c>
      <c r="C60" s="25">
        <v>2720</v>
      </c>
      <c r="D60" s="25">
        <v>1815</v>
      </c>
      <c r="E60" s="25">
        <v>1360</v>
      </c>
      <c r="F60" s="25">
        <v>1085</v>
      </c>
      <c r="G60" s="25">
        <v>905</v>
      </c>
    </row>
    <row r="61" spans="1:7" x14ac:dyDescent="0.25">
      <c r="A61">
        <v>7</v>
      </c>
      <c r="B61" s="25">
        <v>7800</v>
      </c>
      <c r="C61" s="25">
        <v>3900</v>
      </c>
      <c r="D61" s="25">
        <v>2600</v>
      </c>
      <c r="E61" s="25">
        <v>1950</v>
      </c>
      <c r="F61" s="25">
        <v>1560</v>
      </c>
      <c r="G61" s="25">
        <v>1300</v>
      </c>
    </row>
    <row r="62" spans="1:7" x14ac:dyDescent="0.25">
      <c r="A62">
        <v>8</v>
      </c>
      <c r="B62" s="25">
        <v>11200</v>
      </c>
      <c r="C62" s="25">
        <v>5600</v>
      </c>
      <c r="D62" s="25">
        <v>3740</v>
      </c>
      <c r="E62" s="25">
        <v>2800</v>
      </c>
      <c r="F62" s="25">
        <v>2240</v>
      </c>
      <c r="G62" s="25">
        <v>1870</v>
      </c>
    </row>
    <row r="63" spans="1:7" x14ac:dyDescent="0.25">
      <c r="A63">
        <v>10</v>
      </c>
      <c r="B63" s="25">
        <v>20400</v>
      </c>
      <c r="C63" s="25">
        <v>10200</v>
      </c>
      <c r="D63" s="25">
        <v>6800</v>
      </c>
      <c r="E63" s="25">
        <v>5100</v>
      </c>
      <c r="F63" s="25">
        <v>4080</v>
      </c>
      <c r="G63" s="25">
        <v>3400</v>
      </c>
    </row>
    <row r="65" spans="1:7" x14ac:dyDescent="0.25">
      <c r="A65" s="169">
        <v>0.02</v>
      </c>
      <c r="B65" s="14" t="s">
        <v>224</v>
      </c>
      <c r="E65" s="14" t="s">
        <v>267</v>
      </c>
    </row>
    <row r="66" spans="1:7" x14ac:dyDescent="0.25">
      <c r="A66" s="63" t="s">
        <v>225</v>
      </c>
      <c r="B66" s="25">
        <v>1</v>
      </c>
      <c r="C66" s="25">
        <v>2</v>
      </c>
      <c r="D66" s="25">
        <v>3</v>
      </c>
      <c r="E66" s="25">
        <v>4</v>
      </c>
      <c r="F66" s="25">
        <v>5</v>
      </c>
      <c r="G66" s="25">
        <v>6</v>
      </c>
    </row>
    <row r="67" spans="1:7" x14ac:dyDescent="0.25">
      <c r="A67">
        <v>3</v>
      </c>
      <c r="B67" s="25">
        <v>1360</v>
      </c>
      <c r="C67" s="25">
        <v>680</v>
      </c>
      <c r="D67" s="25">
        <v>454</v>
      </c>
      <c r="E67" s="25">
        <v>340</v>
      </c>
      <c r="F67" s="25">
        <v>272</v>
      </c>
      <c r="G67" s="25">
        <v>226</v>
      </c>
    </row>
    <row r="68" spans="1:7" x14ac:dyDescent="0.25">
      <c r="A68">
        <v>4</v>
      </c>
      <c r="B68" s="25">
        <v>2880</v>
      </c>
      <c r="C68" s="25">
        <v>1440</v>
      </c>
      <c r="D68" s="25">
        <v>960</v>
      </c>
      <c r="E68" s="25">
        <v>720</v>
      </c>
      <c r="F68" s="25">
        <v>576</v>
      </c>
      <c r="G68" s="25">
        <v>480</v>
      </c>
    </row>
    <row r="69" spans="1:7" x14ac:dyDescent="0.25">
      <c r="A69">
        <v>5</v>
      </c>
      <c r="B69" s="25">
        <v>5000</v>
      </c>
      <c r="C69" s="25">
        <v>2500</v>
      </c>
      <c r="D69" s="25">
        <v>1668</v>
      </c>
      <c r="E69" s="25">
        <v>1250</v>
      </c>
      <c r="F69" s="25">
        <v>1000</v>
      </c>
      <c r="G69" s="25">
        <v>834</v>
      </c>
    </row>
    <row r="70" spans="1:7" x14ac:dyDescent="0.25">
      <c r="A70">
        <v>6</v>
      </c>
      <c r="B70" s="25">
        <v>7680</v>
      </c>
      <c r="C70" s="25">
        <v>3840</v>
      </c>
      <c r="D70" s="25">
        <v>2560</v>
      </c>
      <c r="E70" s="25">
        <v>1920</v>
      </c>
      <c r="F70" s="25">
        <v>1536</v>
      </c>
      <c r="G70" s="25">
        <v>1280</v>
      </c>
    </row>
    <row r="71" spans="1:7" x14ac:dyDescent="0.25">
      <c r="A71">
        <v>7</v>
      </c>
      <c r="B71" s="25">
        <v>11040</v>
      </c>
      <c r="C71" s="25">
        <v>5520</v>
      </c>
      <c r="D71" s="25">
        <v>3860</v>
      </c>
      <c r="E71" s="25">
        <v>2760</v>
      </c>
      <c r="F71" s="25">
        <v>2205</v>
      </c>
      <c r="G71" s="25">
        <v>1840</v>
      </c>
    </row>
    <row r="72" spans="1:7" x14ac:dyDescent="0.25">
      <c r="A72">
        <v>8</v>
      </c>
      <c r="B72" s="25">
        <v>15920</v>
      </c>
      <c r="C72" s="25">
        <v>7960</v>
      </c>
      <c r="D72" s="25">
        <v>5310</v>
      </c>
      <c r="E72" s="25">
        <v>3980</v>
      </c>
      <c r="F72" s="25">
        <v>3180</v>
      </c>
      <c r="G72" s="25">
        <v>2655</v>
      </c>
    </row>
    <row r="73" spans="1:7" x14ac:dyDescent="0.25">
      <c r="A73">
        <v>10</v>
      </c>
      <c r="B73" s="25">
        <v>28800</v>
      </c>
      <c r="C73" s="25">
        <v>14400</v>
      </c>
      <c r="D73" s="25">
        <v>9600</v>
      </c>
      <c r="E73" s="25">
        <v>7200</v>
      </c>
      <c r="F73" s="25">
        <v>5750</v>
      </c>
      <c r="G73" s="25">
        <v>4800</v>
      </c>
    </row>
    <row r="75" spans="1:7" x14ac:dyDescent="0.25">
      <c r="A75" s="169">
        <v>0.04</v>
      </c>
      <c r="B75" s="14" t="s">
        <v>224</v>
      </c>
      <c r="E75" s="14" t="s">
        <v>267</v>
      </c>
    </row>
    <row r="76" spans="1:7" x14ac:dyDescent="0.25">
      <c r="A76" s="63" t="s">
        <v>225</v>
      </c>
      <c r="B76" s="25">
        <v>1</v>
      </c>
      <c r="C76" s="25">
        <v>2</v>
      </c>
      <c r="D76" s="25">
        <v>3</v>
      </c>
      <c r="E76" s="25">
        <v>4</v>
      </c>
      <c r="F76" s="25">
        <v>5</v>
      </c>
      <c r="G76" s="25">
        <v>6</v>
      </c>
    </row>
    <row r="77" spans="1:7" x14ac:dyDescent="0.25">
      <c r="A77">
        <v>3</v>
      </c>
      <c r="B77" s="25">
        <v>1920</v>
      </c>
      <c r="C77" s="25">
        <v>960</v>
      </c>
      <c r="D77" s="25">
        <v>640</v>
      </c>
      <c r="E77" s="25">
        <v>480</v>
      </c>
      <c r="F77" s="25">
        <v>384</v>
      </c>
      <c r="G77" s="25">
        <v>320</v>
      </c>
    </row>
    <row r="78" spans="1:7" x14ac:dyDescent="0.25">
      <c r="A78">
        <v>4</v>
      </c>
      <c r="B78" s="25">
        <v>4080</v>
      </c>
      <c r="C78" s="25">
        <v>2040</v>
      </c>
      <c r="D78" s="25">
        <v>1360</v>
      </c>
      <c r="E78" s="25">
        <v>1020</v>
      </c>
      <c r="F78" s="25">
        <v>816</v>
      </c>
      <c r="G78" s="25">
        <v>680</v>
      </c>
    </row>
    <row r="79" spans="1:7" x14ac:dyDescent="0.25">
      <c r="A79">
        <v>5</v>
      </c>
      <c r="B79" s="25">
        <v>7080</v>
      </c>
      <c r="C79" s="25">
        <v>3540</v>
      </c>
      <c r="D79" s="25">
        <v>2360</v>
      </c>
      <c r="E79" s="25">
        <v>1770</v>
      </c>
      <c r="F79" s="25">
        <v>1415</v>
      </c>
      <c r="G79" s="25">
        <v>1180</v>
      </c>
    </row>
    <row r="80" spans="1:7" x14ac:dyDescent="0.25">
      <c r="A80">
        <v>6</v>
      </c>
      <c r="B80" s="25">
        <v>11080</v>
      </c>
      <c r="C80" s="25">
        <v>5540</v>
      </c>
      <c r="D80" s="25">
        <v>3695</v>
      </c>
      <c r="E80" s="25">
        <v>2770</v>
      </c>
      <c r="F80" s="25">
        <v>2220</v>
      </c>
      <c r="G80" s="25">
        <v>1850</v>
      </c>
    </row>
    <row r="81" spans="1:7" x14ac:dyDescent="0.25">
      <c r="A81">
        <v>7</v>
      </c>
      <c r="B81" s="25">
        <v>15600</v>
      </c>
      <c r="C81" s="25">
        <v>7800</v>
      </c>
      <c r="D81" s="25">
        <v>5200</v>
      </c>
      <c r="E81" s="25">
        <v>3900</v>
      </c>
      <c r="F81" s="25">
        <v>3120</v>
      </c>
      <c r="G81" s="25">
        <v>2600</v>
      </c>
    </row>
    <row r="82" spans="1:7" x14ac:dyDescent="0.25">
      <c r="A82">
        <v>8</v>
      </c>
      <c r="B82" s="25">
        <v>22400</v>
      </c>
      <c r="C82" s="25">
        <v>11200</v>
      </c>
      <c r="D82" s="25">
        <v>7460</v>
      </c>
      <c r="E82" s="25">
        <v>5600</v>
      </c>
      <c r="F82" s="25">
        <v>4480</v>
      </c>
      <c r="G82" s="25">
        <v>3730</v>
      </c>
    </row>
    <row r="83" spans="1:7" x14ac:dyDescent="0.25">
      <c r="A83">
        <v>10</v>
      </c>
      <c r="B83" s="25">
        <v>40000</v>
      </c>
      <c r="C83" s="25">
        <v>20000</v>
      </c>
      <c r="D83" s="25">
        <v>13330</v>
      </c>
      <c r="E83" s="25">
        <v>10000</v>
      </c>
      <c r="F83" s="25">
        <v>8000</v>
      </c>
      <c r="G83" s="25">
        <v>6660</v>
      </c>
    </row>
  </sheetData>
  <hyperlinks>
    <hyperlink ref="A1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"/>
  <sheetViews>
    <sheetView workbookViewId="0">
      <selection activeCell="F9" sqref="F9"/>
    </sheetView>
  </sheetViews>
  <sheetFormatPr defaultRowHeight="15" x14ac:dyDescent="0.25"/>
  <cols>
    <col min="1" max="1" width="48.5703125" bestFit="1" customWidth="1"/>
    <col min="3" max="3" width="13.7109375" bestFit="1" customWidth="1"/>
  </cols>
  <sheetData>
    <row r="2" spans="1:4" x14ac:dyDescent="0.25">
      <c r="A2" s="10" t="s">
        <v>42</v>
      </c>
      <c r="B2" s="11">
        <v>13625</v>
      </c>
      <c r="C2" s="10" t="s">
        <v>43</v>
      </c>
    </row>
    <row r="3" spans="1:4" x14ac:dyDescent="0.25">
      <c r="A3" s="10" t="s">
        <v>44</v>
      </c>
      <c r="B3" s="11">
        <v>1000</v>
      </c>
      <c r="C3" s="10" t="s">
        <v>43</v>
      </c>
    </row>
    <row r="4" spans="1:4" x14ac:dyDescent="0.25">
      <c r="A4" s="10" t="s">
        <v>45</v>
      </c>
      <c r="B4" s="10">
        <f>B3*1.3</f>
        <v>1300</v>
      </c>
      <c r="C4" t="str">
        <f>IF(B4&gt;B2,"► Selection OK","► Undersized")</f>
        <v>► Undersized</v>
      </c>
    </row>
    <row r="6" spans="1:4" x14ac:dyDescent="0.25">
      <c r="A6" s="10" t="s">
        <v>46</v>
      </c>
      <c r="B6" s="11">
        <v>8800</v>
      </c>
      <c r="C6" t="s">
        <v>43</v>
      </c>
      <c r="D6" s="10" t="s">
        <v>47</v>
      </c>
    </row>
    <row r="7" spans="1:4" x14ac:dyDescent="0.25">
      <c r="A7" s="10" t="s">
        <v>48</v>
      </c>
      <c r="B7">
        <f>B6*0.75</f>
        <v>6600</v>
      </c>
      <c r="C7" t="s">
        <v>43</v>
      </c>
    </row>
    <row r="8" spans="1:4" x14ac:dyDescent="0.25">
      <c r="A8" s="10" t="s">
        <v>49</v>
      </c>
      <c r="B8">
        <f>B6/(500*10)</f>
        <v>1.76</v>
      </c>
      <c r="C8" t="s">
        <v>50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9"/>
  <sheetViews>
    <sheetView topLeftCell="A2" zoomScaleNormal="100" workbookViewId="0">
      <selection activeCell="I23" sqref="I23"/>
    </sheetView>
  </sheetViews>
  <sheetFormatPr defaultRowHeight="15" x14ac:dyDescent="0.25"/>
  <cols>
    <col min="1" max="1" width="18.85546875" customWidth="1"/>
    <col min="2" max="2" width="13.140625" bestFit="1" customWidth="1"/>
    <col min="3" max="3" width="15.42578125" bestFit="1" customWidth="1"/>
    <col min="4" max="4" width="18.5703125" style="25" bestFit="1" customWidth="1"/>
    <col min="5" max="5" width="13.28515625" bestFit="1" customWidth="1"/>
    <col min="6" max="6" width="14.85546875" style="25" bestFit="1" customWidth="1"/>
    <col min="7" max="7" width="15.5703125" bestFit="1" customWidth="1"/>
    <col min="8" max="8" width="18.5703125" bestFit="1" customWidth="1"/>
    <col min="9" max="9" width="17.140625" customWidth="1"/>
    <col min="10" max="10" width="13.140625" bestFit="1" customWidth="1"/>
    <col min="11" max="11" width="14.7109375" bestFit="1" customWidth="1"/>
    <col min="12" max="12" width="13" bestFit="1" customWidth="1"/>
    <col min="13" max="13" width="13.28515625" bestFit="1" customWidth="1"/>
    <col min="14" max="14" width="14.85546875" bestFit="1" customWidth="1"/>
    <col min="15" max="15" width="15.5703125" bestFit="1" customWidth="1"/>
    <col min="16" max="16" width="17.140625" bestFit="1" customWidth="1"/>
    <col min="17" max="18" width="12.28515625" bestFit="1" customWidth="1"/>
    <col min="19" max="22" width="11.28515625" bestFit="1" customWidth="1"/>
  </cols>
  <sheetData>
    <row r="1" spans="1:13" ht="21" x14ac:dyDescent="0.35">
      <c r="A1" s="76" t="s">
        <v>146</v>
      </c>
      <c r="B1" s="59"/>
      <c r="C1" s="59"/>
      <c r="D1" s="173"/>
      <c r="E1" s="59"/>
      <c r="F1" s="173"/>
      <c r="G1" s="59"/>
      <c r="M1" s="59"/>
    </row>
    <row r="2" spans="1:13" x14ac:dyDescent="0.25">
      <c r="A2" s="14" t="s">
        <v>204</v>
      </c>
      <c r="B2" s="62"/>
    </row>
    <row r="3" spans="1:13" x14ac:dyDescent="0.25">
      <c r="A3" s="70" t="s">
        <v>184</v>
      </c>
    </row>
    <row r="4" spans="1:13" x14ac:dyDescent="0.25">
      <c r="A4" t="s">
        <v>195</v>
      </c>
    </row>
    <row r="5" spans="1:13" x14ac:dyDescent="0.25">
      <c r="A5" t="s">
        <v>196</v>
      </c>
    </row>
    <row r="6" spans="1:13" x14ac:dyDescent="0.25">
      <c r="A6" t="s">
        <v>198</v>
      </c>
    </row>
    <row r="8" spans="1:13" x14ac:dyDescent="0.25">
      <c r="A8" t="s">
        <v>278</v>
      </c>
    </row>
    <row r="9" spans="1:13" x14ac:dyDescent="0.25">
      <c r="A9">
        <f ca="1">MAX($D:$D)</f>
        <v>196.98000000000002</v>
      </c>
      <c r="B9" t="s">
        <v>279</v>
      </c>
      <c r="C9" t="s">
        <v>280</v>
      </c>
    </row>
    <row r="11" spans="1:13" x14ac:dyDescent="0.25">
      <c r="B11" s="14" t="s">
        <v>203</v>
      </c>
      <c r="C11" s="63" t="s">
        <v>202</v>
      </c>
      <c r="D11" s="63" t="s">
        <v>283</v>
      </c>
      <c r="E11" s="63" t="s">
        <v>200</v>
      </c>
      <c r="F11" s="63" t="s">
        <v>201</v>
      </c>
    </row>
    <row r="12" spans="1:13" x14ac:dyDescent="0.25">
      <c r="B12" t="s">
        <v>185</v>
      </c>
      <c r="C12" s="72">
        <v>200</v>
      </c>
      <c r="D12" s="25" t="s">
        <v>165</v>
      </c>
      <c r="E12" s="25">
        <f>IF(D12=D11,C12+E11,C12)</f>
        <v>200</v>
      </c>
      <c r="F12" s="64" t="e">
        <f>VLOOKUP(B12,Table512[],4,FALSE)</f>
        <v>#N/A</v>
      </c>
    </row>
    <row r="13" spans="1:13" x14ac:dyDescent="0.25">
      <c r="B13" t="s">
        <v>170</v>
      </c>
      <c r="C13" s="72">
        <v>100</v>
      </c>
      <c r="D13" s="25" t="s">
        <v>165</v>
      </c>
      <c r="E13" s="25">
        <f>IF(D13=D12,C13+E12,C13)</f>
        <v>300</v>
      </c>
      <c r="F13" s="64">
        <f t="shared" ref="F13:F34" ca="1" si="0">VLOOKUP(B13,A156:H164,4,FALSE)</f>
        <v>163.28999999999996</v>
      </c>
    </row>
    <row r="14" spans="1:13" x14ac:dyDescent="0.25">
      <c r="B14" t="s">
        <v>169</v>
      </c>
      <c r="C14" s="72">
        <v>1050</v>
      </c>
      <c r="D14" s="25" t="s">
        <v>165</v>
      </c>
      <c r="E14" s="25">
        <f t="shared" ref="E14:E34" si="1">IF(D14=D13,C14+E13,C14)</f>
        <v>1350</v>
      </c>
      <c r="F14" s="64">
        <f t="shared" ca="1" si="0"/>
        <v>156.78</v>
      </c>
    </row>
    <row r="15" spans="1:13" x14ac:dyDescent="0.25">
      <c r="B15" s="71" t="s">
        <v>168</v>
      </c>
      <c r="C15" s="72">
        <v>100</v>
      </c>
      <c r="D15" s="25" t="s">
        <v>165</v>
      </c>
      <c r="E15" s="25">
        <f t="shared" si="1"/>
        <v>1450</v>
      </c>
      <c r="F15" s="64">
        <f t="shared" ca="1" si="0"/>
        <v>138.69</v>
      </c>
    </row>
    <row r="16" spans="1:13" x14ac:dyDescent="0.25">
      <c r="B16" t="s">
        <v>167</v>
      </c>
      <c r="C16" s="72">
        <v>100</v>
      </c>
      <c r="D16" s="25" t="s">
        <v>165</v>
      </c>
      <c r="E16" s="25">
        <f t="shared" si="1"/>
        <v>1550</v>
      </c>
      <c r="F16" s="64">
        <f t="shared" ca="1" si="0"/>
        <v>126.39000000000001</v>
      </c>
    </row>
    <row r="17" spans="2:6" x14ac:dyDescent="0.25">
      <c r="B17" t="s">
        <v>166</v>
      </c>
      <c r="C17" s="72">
        <v>100</v>
      </c>
      <c r="D17" s="25" t="s">
        <v>165</v>
      </c>
      <c r="E17" s="25">
        <f t="shared" si="1"/>
        <v>1650</v>
      </c>
      <c r="F17" s="64">
        <f t="shared" ca="1" si="0"/>
        <v>114.09</v>
      </c>
    </row>
    <row r="18" spans="2:6" x14ac:dyDescent="0.25">
      <c r="B18" t="s">
        <v>164</v>
      </c>
      <c r="C18" s="72">
        <v>150</v>
      </c>
      <c r="D18" s="25" t="s">
        <v>165</v>
      </c>
      <c r="E18" s="25">
        <f t="shared" si="1"/>
        <v>1800</v>
      </c>
      <c r="F18" s="64">
        <f t="shared" ca="1" si="0"/>
        <v>102.995</v>
      </c>
    </row>
    <row r="19" spans="2:6" x14ac:dyDescent="0.25">
      <c r="B19" t="s">
        <v>163</v>
      </c>
      <c r="C19" s="72">
        <v>200</v>
      </c>
      <c r="D19" s="25" t="s">
        <v>165</v>
      </c>
      <c r="E19" s="25">
        <f t="shared" si="1"/>
        <v>2000</v>
      </c>
      <c r="F19" s="64">
        <f t="shared" ca="1" si="0"/>
        <v>90.694999999999993</v>
      </c>
    </row>
    <row r="20" spans="2:6" x14ac:dyDescent="0.25">
      <c r="B20" t="s">
        <v>155</v>
      </c>
      <c r="C20" s="72">
        <v>200</v>
      </c>
      <c r="D20" s="25" t="s">
        <v>165</v>
      </c>
      <c r="E20" s="25">
        <f t="shared" si="1"/>
        <v>2200</v>
      </c>
      <c r="F20" s="64">
        <f t="shared" ca="1" si="0"/>
        <v>78.394999999999996</v>
      </c>
    </row>
    <row r="21" spans="2:6" x14ac:dyDescent="0.25">
      <c r="B21" t="s">
        <v>171</v>
      </c>
      <c r="C21" s="72">
        <v>164</v>
      </c>
      <c r="D21" s="25" t="s">
        <v>284</v>
      </c>
      <c r="E21" s="25">
        <f t="shared" si="1"/>
        <v>164</v>
      </c>
      <c r="F21" s="64">
        <f t="shared" si="0"/>
        <v>1</v>
      </c>
    </row>
    <row r="22" spans="2:6" x14ac:dyDescent="0.25">
      <c r="B22" t="s">
        <v>187</v>
      </c>
      <c r="C22" s="25">
        <v>120</v>
      </c>
      <c r="D22" s="25" t="s">
        <v>173</v>
      </c>
      <c r="E22" s="25">
        <f t="shared" si="1"/>
        <v>120</v>
      </c>
      <c r="F22" s="64" t="e">
        <f t="shared" si="0"/>
        <v>#N/A</v>
      </c>
    </row>
    <row r="23" spans="2:6" x14ac:dyDescent="0.25">
      <c r="B23" t="s">
        <v>188</v>
      </c>
      <c r="C23" s="25">
        <v>120</v>
      </c>
      <c r="D23" s="25" t="s">
        <v>173</v>
      </c>
      <c r="E23" s="25">
        <f t="shared" si="1"/>
        <v>240</v>
      </c>
      <c r="F23" s="64" t="e">
        <f t="shared" si="0"/>
        <v>#N/A</v>
      </c>
    </row>
    <row r="24" spans="2:6" x14ac:dyDescent="0.25">
      <c r="B24" t="s">
        <v>189</v>
      </c>
      <c r="C24" s="25">
        <v>120</v>
      </c>
      <c r="D24" s="25" t="s">
        <v>173</v>
      </c>
      <c r="E24" s="25">
        <f t="shared" si="1"/>
        <v>360</v>
      </c>
      <c r="F24" s="64" t="e">
        <f t="shared" si="0"/>
        <v>#N/A</v>
      </c>
    </row>
    <row r="25" spans="2:6" x14ac:dyDescent="0.25">
      <c r="B25" s="21" t="s">
        <v>190</v>
      </c>
      <c r="C25" s="25">
        <v>150</v>
      </c>
      <c r="D25" s="25" t="s">
        <v>173</v>
      </c>
      <c r="E25" s="25">
        <f t="shared" si="1"/>
        <v>510</v>
      </c>
      <c r="F25" s="64" t="e">
        <f t="shared" si="0"/>
        <v>#N/A</v>
      </c>
    </row>
    <row r="26" spans="2:6" x14ac:dyDescent="0.25">
      <c r="B26" s="21" t="s">
        <v>191</v>
      </c>
      <c r="C26" s="25">
        <v>150</v>
      </c>
      <c r="D26" s="25" t="s">
        <v>173</v>
      </c>
      <c r="E26" s="25">
        <f t="shared" si="1"/>
        <v>660</v>
      </c>
      <c r="F26" s="64" t="e">
        <f t="shared" si="0"/>
        <v>#N/A</v>
      </c>
    </row>
    <row r="27" spans="2:6" x14ac:dyDescent="0.25">
      <c r="B27" s="21" t="s">
        <v>179</v>
      </c>
      <c r="C27" s="25">
        <v>160</v>
      </c>
      <c r="D27" s="25" t="s">
        <v>173</v>
      </c>
      <c r="E27" s="25">
        <f t="shared" si="1"/>
        <v>820</v>
      </c>
      <c r="F27" s="64" t="e">
        <f t="shared" si="0"/>
        <v>#N/A</v>
      </c>
    </row>
    <row r="28" spans="2:6" x14ac:dyDescent="0.25">
      <c r="B28" s="21" t="s">
        <v>178</v>
      </c>
      <c r="C28" s="25">
        <v>220</v>
      </c>
      <c r="D28" s="25" t="s">
        <v>173</v>
      </c>
      <c r="E28" s="25">
        <f t="shared" si="1"/>
        <v>1040</v>
      </c>
      <c r="F28" s="64" t="e">
        <f t="shared" si="0"/>
        <v>#N/A</v>
      </c>
    </row>
    <row r="29" spans="2:6" x14ac:dyDescent="0.25">
      <c r="B29" s="21" t="s">
        <v>177</v>
      </c>
      <c r="C29" s="25">
        <v>190</v>
      </c>
      <c r="D29" s="25" t="s">
        <v>173</v>
      </c>
      <c r="E29" s="25">
        <f t="shared" si="1"/>
        <v>1230</v>
      </c>
      <c r="F29" s="64" t="e">
        <f t="shared" si="0"/>
        <v>#N/A</v>
      </c>
    </row>
    <row r="30" spans="2:6" x14ac:dyDescent="0.25">
      <c r="B30" s="21" t="s">
        <v>176</v>
      </c>
      <c r="C30" s="25">
        <v>150</v>
      </c>
      <c r="D30" s="25" t="s">
        <v>173</v>
      </c>
      <c r="E30" s="25">
        <f t="shared" si="1"/>
        <v>1380</v>
      </c>
      <c r="F30" s="64" t="e">
        <f t="shared" si="0"/>
        <v>#N/A</v>
      </c>
    </row>
    <row r="31" spans="2:6" x14ac:dyDescent="0.25">
      <c r="B31" s="21" t="s">
        <v>175</v>
      </c>
      <c r="C31" s="25">
        <v>220</v>
      </c>
      <c r="D31" s="25" t="s">
        <v>173</v>
      </c>
      <c r="E31" s="25">
        <f t="shared" si="1"/>
        <v>1600</v>
      </c>
      <c r="F31" s="64" t="e">
        <f t="shared" si="0"/>
        <v>#N/A</v>
      </c>
    </row>
    <row r="32" spans="2:6" x14ac:dyDescent="0.25">
      <c r="B32" s="21" t="s">
        <v>174</v>
      </c>
      <c r="C32" s="25">
        <v>120</v>
      </c>
      <c r="D32" s="25" t="s">
        <v>173</v>
      </c>
      <c r="E32" s="25">
        <f t="shared" si="1"/>
        <v>1720</v>
      </c>
      <c r="F32" s="64" t="e">
        <f t="shared" si="0"/>
        <v>#N/A</v>
      </c>
    </row>
    <row r="33" spans="1:16" x14ac:dyDescent="0.25">
      <c r="B33" s="21" t="s">
        <v>192</v>
      </c>
      <c r="C33" s="25">
        <v>780</v>
      </c>
      <c r="D33" s="25" t="s">
        <v>173</v>
      </c>
      <c r="E33" s="25">
        <f t="shared" si="1"/>
        <v>2500</v>
      </c>
      <c r="F33" s="64" t="e">
        <f t="shared" si="0"/>
        <v>#N/A</v>
      </c>
    </row>
    <row r="34" spans="1:16" x14ac:dyDescent="0.25">
      <c r="B34" s="21" t="s">
        <v>193</v>
      </c>
      <c r="C34" s="25">
        <v>780</v>
      </c>
      <c r="D34" s="25" t="s">
        <v>173</v>
      </c>
      <c r="E34" s="25">
        <f t="shared" si="1"/>
        <v>3280</v>
      </c>
      <c r="F34" s="64" t="e">
        <f t="shared" si="0"/>
        <v>#N/A</v>
      </c>
    </row>
    <row r="35" spans="1:16" x14ac:dyDescent="0.25">
      <c r="B35" s="21"/>
      <c r="C35" s="25"/>
      <c r="E35" s="25"/>
      <c r="F35" s="64"/>
    </row>
    <row r="36" spans="1:16" x14ac:dyDescent="0.25">
      <c r="A36" s="14" t="s">
        <v>227</v>
      </c>
      <c r="B36" s="75" t="s">
        <v>203</v>
      </c>
      <c r="C36" s="63" t="s">
        <v>158</v>
      </c>
      <c r="D36" s="63" t="s">
        <v>156</v>
      </c>
      <c r="E36" s="63" t="s">
        <v>157</v>
      </c>
      <c r="F36" s="63" t="s">
        <v>180</v>
      </c>
      <c r="H36" s="14" t="s">
        <v>227</v>
      </c>
      <c r="I36" s="14" t="s">
        <v>203</v>
      </c>
      <c r="J36" s="63" t="s">
        <v>202</v>
      </c>
      <c r="K36" s="63" t="s">
        <v>200</v>
      </c>
      <c r="L36" s="63" t="s">
        <v>201</v>
      </c>
      <c r="M36" s="63" t="s">
        <v>197</v>
      </c>
      <c r="N36" s="63" t="s">
        <v>199</v>
      </c>
      <c r="O36" s="63" t="s">
        <v>281</v>
      </c>
      <c r="P36" s="63" t="s">
        <v>282</v>
      </c>
    </row>
    <row r="37" spans="1:16" x14ac:dyDescent="0.25">
      <c r="A37" t="s">
        <v>165</v>
      </c>
      <c r="B37" s="21" t="s">
        <v>185</v>
      </c>
      <c r="C37" s="26">
        <v>1.25</v>
      </c>
      <c r="D37" s="25" t="s">
        <v>162</v>
      </c>
      <c r="E37" s="77">
        <v>1</v>
      </c>
      <c r="F37" s="77">
        <f>VLOOKUP(C37, EQLC_CHART, MATCH(D37, EQLC_COLUMNS, 0), FALSE)*E37</f>
        <v>1.875</v>
      </c>
      <c r="H37" t="s">
        <v>165</v>
      </c>
      <c r="I37" t="s">
        <v>185</v>
      </c>
      <c r="J37" s="72">
        <v>200</v>
      </c>
      <c r="K37" s="72">
        <f>IF(H37=H36,J37+K36,J37)</f>
        <v>200</v>
      </c>
      <c r="L37" s="64">
        <f ca="1">SUMPRODUCT(((OFFSET($B$37,MATCH(I37,$B$37:$B$112,0)-1,0):$B$112=I37)+(OFFSET($B$37,MATCH(I37,$B$37:$B$112,0)-1,0):$B$112="MAIN"))*(OFFSET($F$37,MATCH(I37,$B$37:$B$112,0)-1,0):$F$112))</f>
        <v>398.18500000000012</v>
      </c>
      <c r="M37" s="26" t="e">
        <f ca="1">INDEX(CFHC_PIPE_SIZE, 15-COUNTIF(INDEX(CFHC_DATA, ,18-COUNTIF(CFHC_LENGTH,"&gt;="&amp;L37)),"&gt;="&amp;J37), 1)</f>
        <v>#REF!</v>
      </c>
      <c r="N37" s="26" t="e">
        <f ca="1">INDEX(CFHC_PIPE_SIZE, 15-COUNTIF(INDEX(CFHC_DATA, ,18-COUNTIF(CFHC_LENGTH,"&gt;="&amp;L37)),"&gt;="&amp;K37), 1)</f>
        <v>#REF!</v>
      </c>
      <c r="O37" s="26">
        <f t="shared" ref="O37:O59" ca="1" si="2">INDEX(CFHC_PIPE_SIZE, 15-COUNTIF(INDEX(CFHC_DATA, ,18-COUNTIF(CFHC_LENGTH,"&gt;="&amp;MAX($D:$D))),"&gt;="&amp;J37), 1)</f>
        <v>1.25</v>
      </c>
      <c r="P37" s="26">
        <f t="shared" ref="P37:P59" ca="1" si="3">INDEX(CFHC_PIPE_SIZE, 15-COUNTIF(INDEX(CFHC_DATA, ,18-COUNTIF(CFHC_LENGTH,"&gt;="&amp;MAX($D:$D))),"&gt;="&amp;K37), 1)</f>
        <v>1.25</v>
      </c>
    </row>
    <row r="38" spans="1:16" x14ac:dyDescent="0.25">
      <c r="A38" t="s">
        <v>165</v>
      </c>
      <c r="B38" s="21" t="s">
        <v>185</v>
      </c>
      <c r="C38" s="26">
        <v>1.25</v>
      </c>
      <c r="D38" s="25" t="s">
        <v>160</v>
      </c>
      <c r="E38" s="77">
        <v>2</v>
      </c>
      <c r="F38" s="77">
        <f t="shared" ref="F38:F101" si="4">VLOOKUP(C38, EQLC_CHART, MATCH(D38, EQLC_COLUMNS, 0), FALSE)*E38</f>
        <v>6.9</v>
      </c>
      <c r="H38" t="s">
        <v>165</v>
      </c>
      <c r="I38" t="s">
        <v>170</v>
      </c>
      <c r="J38" s="72">
        <v>100</v>
      </c>
      <c r="K38" s="72">
        <f t="shared" ref="K38:K59" si="5">IF(H38=H37,J38+K37,J38)</f>
        <v>300</v>
      </c>
      <c r="L38" s="64">
        <f ca="1">SUMPRODUCT(((OFFSET($B$37,MATCH(I38,$B$37:$B$112,0)-1,0):$B$112=I38)+(OFFSET($B$37,MATCH(I38,$B$37:$B$112,0)-1,0):$B$112="MAIN"))*(OFFSET($F$37,MATCH(I38,$B$37:$B$112,0)-1,0):$F$112))</f>
        <v>393.53000000000009</v>
      </c>
      <c r="M38" s="26" t="e">
        <f t="shared" ref="M38:M45" ca="1" si="6">INDEX(CFHC_PIPE_SIZE, 15-COUNTIF(INDEX(CFHC_DATA, ,18-COUNTIF(CFHC_LENGTH,"&gt;="&amp;L38)),"&gt;="&amp;J38), 1)</f>
        <v>#REF!</v>
      </c>
      <c r="N38" s="26" t="e">
        <f ca="1">INDEX(CFHC_PIPE_SIZE, 15-COUNTIF(INDEX(CFHC_DATA, ,18-COUNTIF(CFHC_LENGTH,"&gt;="&amp;L38)),"&gt;="&amp;K38), 1)</f>
        <v>#REF!</v>
      </c>
      <c r="O38" s="26">
        <f t="shared" ca="1" si="2"/>
        <v>1</v>
      </c>
      <c r="P38" s="26">
        <f t="shared" ca="1" si="3"/>
        <v>1.5</v>
      </c>
    </row>
    <row r="39" spans="1:16" x14ac:dyDescent="0.25">
      <c r="A39" t="s">
        <v>165</v>
      </c>
      <c r="B39" s="21" t="s">
        <v>170</v>
      </c>
      <c r="C39" s="26">
        <v>1</v>
      </c>
      <c r="D39" s="25" t="s">
        <v>162</v>
      </c>
      <c r="E39" s="77">
        <v>1</v>
      </c>
      <c r="F39" s="77">
        <f t="shared" si="4"/>
        <v>1.5</v>
      </c>
      <c r="H39" t="s">
        <v>165</v>
      </c>
      <c r="I39" t="s">
        <v>169</v>
      </c>
      <c r="J39" s="72">
        <v>1050</v>
      </c>
      <c r="K39" s="72">
        <f t="shared" si="5"/>
        <v>1350</v>
      </c>
      <c r="L39" s="64">
        <f ca="1">SUMPRODUCT(((OFFSET($B$37,MATCH(I39,$B$37:$B$112,0)-1,0):$B$112=I39)+(OFFSET($B$37,MATCH(I39,$B$37:$B$112,0)-1,0):$B$112="MAIN"))*(OFFSET($F$37,MATCH(I39,$B$37:$B$112,0)-1,0):$F$112))</f>
        <v>387.02000000000015</v>
      </c>
      <c r="M39" s="26" t="e">
        <f t="shared" ca="1" si="6"/>
        <v>#REF!</v>
      </c>
      <c r="N39" s="26" t="e">
        <f t="shared" ref="N39:N45" ca="1" si="7">INDEX(CFHC_PIPE_SIZE, 15-COUNTIF(INDEX(CFHC_DATA, ,18-COUNTIF(CFHC_LENGTH,"&gt;="&amp;L39)),"&gt;="&amp;K39), 1)</f>
        <v>#REF!</v>
      </c>
      <c r="O39" s="26">
        <f t="shared" ca="1" si="2"/>
        <v>2.5</v>
      </c>
      <c r="P39" s="26">
        <f t="shared" ca="1" si="3"/>
        <v>2.5</v>
      </c>
    </row>
    <row r="40" spans="1:16" x14ac:dyDescent="0.25">
      <c r="A40" t="s">
        <v>165</v>
      </c>
      <c r="B40" s="21" t="s">
        <v>170</v>
      </c>
      <c r="C40" s="26">
        <v>1</v>
      </c>
      <c r="D40" s="25" t="s">
        <v>160</v>
      </c>
      <c r="E40" s="77">
        <v>1</v>
      </c>
      <c r="F40" s="77">
        <f t="shared" si="4"/>
        <v>2.62</v>
      </c>
      <c r="H40" t="s">
        <v>165</v>
      </c>
      <c r="I40" s="71" t="s">
        <v>168</v>
      </c>
      <c r="J40" s="72">
        <v>100</v>
      </c>
      <c r="K40" s="72">
        <f t="shared" si="5"/>
        <v>1450</v>
      </c>
      <c r="L40" s="64">
        <f ca="1">SUMPRODUCT(((OFFSET($B$37,MATCH(I40,$B$37:$B$112,0)-1,0):$B$112=I40)+(OFFSET($B$37,MATCH(I40,$B$37:$B$112,0)-1,0):$B$112="MAIN"))*(OFFSET($F$37,MATCH(I40,$B$37:$B$112,0)-1,0):$F$112))</f>
        <v>368.93000000000012</v>
      </c>
      <c r="M40" s="26" t="e">
        <f t="shared" ca="1" si="6"/>
        <v>#REF!</v>
      </c>
      <c r="N40" s="26" t="e">
        <f t="shared" ca="1" si="7"/>
        <v>#REF!</v>
      </c>
      <c r="O40" s="26">
        <f t="shared" ca="1" si="2"/>
        <v>1</v>
      </c>
      <c r="P40" s="26">
        <f t="shared" ca="1" si="3"/>
        <v>3</v>
      </c>
    </row>
    <row r="41" spans="1:16" x14ac:dyDescent="0.25">
      <c r="A41" t="s">
        <v>165</v>
      </c>
      <c r="B41" s="21" t="s">
        <v>161</v>
      </c>
      <c r="C41" s="26">
        <v>2.5</v>
      </c>
      <c r="D41" s="25" t="s">
        <v>149</v>
      </c>
      <c r="E41" s="77">
        <v>1</v>
      </c>
      <c r="F41" s="77">
        <f t="shared" si="4"/>
        <v>12.3</v>
      </c>
      <c r="H41" t="s">
        <v>165</v>
      </c>
      <c r="I41" t="s">
        <v>167</v>
      </c>
      <c r="J41" s="72">
        <v>100</v>
      </c>
      <c r="K41" s="72">
        <f t="shared" si="5"/>
        <v>1550</v>
      </c>
      <c r="L41" s="64">
        <f ca="1">SUMPRODUCT(((OFFSET($B$37,MATCH(I41,$B$37:$B$112,0)-1,0):$B$112=I41)+(OFFSET($B$37,MATCH(I41,$B$37:$B$112,0)-1,0):$B$112="MAIN"))*(OFFSET($F$37,MATCH(I41,$B$37:$B$112,0)-1,0):$F$112))</f>
        <v>356.63000000000017</v>
      </c>
      <c r="M41" s="26" t="e">
        <f t="shared" ca="1" si="6"/>
        <v>#REF!</v>
      </c>
      <c r="N41" s="26" t="e">
        <f t="shared" ca="1" si="7"/>
        <v>#REF!</v>
      </c>
      <c r="O41" s="26">
        <f t="shared" ca="1" si="2"/>
        <v>1</v>
      </c>
      <c r="P41" s="26">
        <f t="shared" ca="1" si="3"/>
        <v>3</v>
      </c>
    </row>
    <row r="42" spans="1:16" x14ac:dyDescent="0.25">
      <c r="A42" t="s">
        <v>165</v>
      </c>
      <c r="B42" s="21" t="s">
        <v>169</v>
      </c>
      <c r="C42" s="26">
        <v>2.5</v>
      </c>
      <c r="D42" s="25" t="s">
        <v>162</v>
      </c>
      <c r="E42" s="77">
        <v>1</v>
      </c>
      <c r="F42" s="77">
        <f t="shared" si="4"/>
        <v>3.75</v>
      </c>
      <c r="H42" t="s">
        <v>165</v>
      </c>
      <c r="I42" t="s">
        <v>166</v>
      </c>
      <c r="J42" s="72">
        <v>100</v>
      </c>
      <c r="K42" s="72">
        <f t="shared" si="5"/>
        <v>1650</v>
      </c>
      <c r="L42" s="64">
        <f ca="1">SUMPRODUCT(((OFFSET($B$37,MATCH(I42,$B$37:$B$112,0)-1,0):$B$112=I42)+(OFFSET($B$37,MATCH(I42,$B$37:$B$112,0)-1,0):$B$112="MAIN"))*(OFFSET($F$37,MATCH(I42,$B$37:$B$112,0)-1,0):$F$112))</f>
        <v>344.33000000000015</v>
      </c>
      <c r="M42" s="26" t="e">
        <f t="shared" ca="1" si="6"/>
        <v>#REF!</v>
      </c>
      <c r="N42" s="26" t="e">
        <f t="shared" ca="1" si="7"/>
        <v>#REF!</v>
      </c>
      <c r="O42" s="26">
        <f t="shared" ca="1" si="2"/>
        <v>1</v>
      </c>
      <c r="P42" s="26">
        <f t="shared" ca="1" si="3"/>
        <v>3</v>
      </c>
    </row>
    <row r="43" spans="1:16" x14ac:dyDescent="0.25">
      <c r="A43" t="s">
        <v>165</v>
      </c>
      <c r="B43" s="21" t="s">
        <v>169</v>
      </c>
      <c r="C43" s="26">
        <v>2.5</v>
      </c>
      <c r="D43" s="25" t="s">
        <v>160</v>
      </c>
      <c r="E43" s="77">
        <v>1</v>
      </c>
      <c r="F43" s="77">
        <f t="shared" si="4"/>
        <v>6.16</v>
      </c>
      <c r="H43" t="s">
        <v>165</v>
      </c>
      <c r="I43" t="s">
        <v>164</v>
      </c>
      <c r="J43" s="72">
        <v>150</v>
      </c>
      <c r="K43" s="72">
        <f t="shared" si="5"/>
        <v>1800</v>
      </c>
      <c r="L43" s="64">
        <f ca="1">SUMPRODUCT(((OFFSET($B$37,MATCH(I43,$B$37:$B$112,0)-1,0):$B$112=I43)+(OFFSET($B$37,MATCH(I43,$B$37:$B$112,0)-1,0):$B$112="MAIN"))*(OFFSET($F$37,MATCH(I43,$B$37:$B$112,0)-1,0):$F$112))</f>
        <v>333.23500000000013</v>
      </c>
      <c r="M43" s="26" t="e">
        <f t="shared" ca="1" si="6"/>
        <v>#REF!</v>
      </c>
      <c r="N43" s="26" t="e">
        <f t="shared" ca="1" si="7"/>
        <v>#REF!</v>
      </c>
      <c r="O43" s="26">
        <f t="shared" ca="1" si="2"/>
        <v>1.25</v>
      </c>
      <c r="P43" s="26">
        <f t="shared" ca="1" si="3"/>
        <v>3</v>
      </c>
    </row>
    <row r="44" spans="1:16" x14ac:dyDescent="0.25">
      <c r="A44" t="s">
        <v>165</v>
      </c>
      <c r="B44" s="21" t="s">
        <v>161</v>
      </c>
      <c r="C44" s="26">
        <v>2.5</v>
      </c>
      <c r="D44" s="25" t="s">
        <v>149</v>
      </c>
      <c r="E44" s="77">
        <v>1</v>
      </c>
      <c r="F44" s="77">
        <f t="shared" si="4"/>
        <v>12.3</v>
      </c>
      <c r="H44" t="s">
        <v>165</v>
      </c>
      <c r="I44" t="s">
        <v>163</v>
      </c>
      <c r="J44" s="72">
        <v>200</v>
      </c>
      <c r="K44" s="72">
        <f t="shared" si="5"/>
        <v>2000</v>
      </c>
      <c r="L44" s="64">
        <f ca="1">SUMPRODUCT(((OFFSET($B$37,MATCH(I44,$B$37:$B$112,0)-1,0):$B$112=I44)+(OFFSET($B$37,MATCH(I44,$B$37:$B$112,0)-1,0):$B$112="MAIN"))*(OFFSET($F$37,MATCH(I44,$B$37:$B$112,0)-1,0):$F$112))</f>
        <v>320.93500000000012</v>
      </c>
      <c r="M44" s="26" t="e">
        <f t="shared" ca="1" si="6"/>
        <v>#REF!</v>
      </c>
      <c r="N44" s="26" t="e">
        <f t="shared" ca="1" si="7"/>
        <v>#REF!</v>
      </c>
      <c r="O44" s="26">
        <f t="shared" ca="1" si="2"/>
        <v>1.25</v>
      </c>
      <c r="P44" s="26">
        <f t="shared" ca="1" si="3"/>
        <v>3</v>
      </c>
    </row>
    <row r="45" spans="1:16" x14ac:dyDescent="0.25">
      <c r="A45" t="s">
        <v>165</v>
      </c>
      <c r="B45" s="21" t="s">
        <v>168</v>
      </c>
      <c r="C45" s="26">
        <v>1</v>
      </c>
      <c r="D45" s="25" t="s">
        <v>162</v>
      </c>
      <c r="E45" s="77">
        <v>1</v>
      </c>
      <c r="F45" s="77">
        <f t="shared" si="4"/>
        <v>1.5</v>
      </c>
      <c r="H45" t="s">
        <v>165</v>
      </c>
      <c r="I45" t="s">
        <v>155</v>
      </c>
      <c r="J45" s="72">
        <v>200</v>
      </c>
      <c r="K45" s="72">
        <f t="shared" si="5"/>
        <v>2200</v>
      </c>
      <c r="L45" s="64">
        <f ca="1">SUMPRODUCT(((OFFSET($B$37,MATCH(I45,$B$37:$B$112,0)-1,0):$B$112=I45)+(OFFSET($B$37,MATCH(I45,$B$37:$B$112,0)-1,0):$B$112="MAIN"))*(OFFSET($F$37,MATCH(I45,$B$37:$B$112,0)-1,0):$F$112))</f>
        <v>308.63500000000016</v>
      </c>
      <c r="M45" s="26" t="e">
        <f t="shared" ca="1" si="6"/>
        <v>#REF!</v>
      </c>
      <c r="N45" s="26" t="e">
        <f t="shared" ca="1" si="7"/>
        <v>#REF!</v>
      </c>
      <c r="O45" s="26">
        <f t="shared" ca="1" si="2"/>
        <v>1.25</v>
      </c>
      <c r="P45" s="26">
        <f t="shared" ca="1" si="3"/>
        <v>3</v>
      </c>
    </row>
    <row r="46" spans="1:16" x14ac:dyDescent="0.25">
      <c r="A46" t="s">
        <v>165</v>
      </c>
      <c r="B46" s="21" t="s">
        <v>168</v>
      </c>
      <c r="C46" s="26">
        <v>1</v>
      </c>
      <c r="D46" s="25" t="s">
        <v>160</v>
      </c>
      <c r="E46" s="77">
        <v>1</v>
      </c>
      <c r="F46" s="77">
        <f t="shared" si="4"/>
        <v>2.62</v>
      </c>
      <c r="H46" t="s">
        <v>284</v>
      </c>
      <c r="I46" t="s">
        <v>171</v>
      </c>
      <c r="J46" s="72">
        <v>164</v>
      </c>
      <c r="K46" s="72">
        <f t="shared" si="5"/>
        <v>164</v>
      </c>
      <c r="L46" s="64">
        <f ca="1">SUMPRODUCT(((OFFSET($B$37,MATCH(I46,$B$37:$B$112,0)-1,0):$B$112=I46)+(OFFSET($B$37,MATCH(I46,$B$37:$B$112,0)-1,0):$B$112="MAIN"))*(OFFSET($F$37,MATCH(I46,$B$37:$B$112,0)-1,0):$F$112))</f>
        <v>235.56500000000005</v>
      </c>
      <c r="M46" s="26">
        <f ca="1">INDEX(CFHC_PIPE_SIZE, 15-COUNTIF(INDEX(CFHC_DATA, ,18-COUNTIF(CFHC_LENGTH,"&gt;="&amp;L46)),"&gt;="&amp;J46), 1)</f>
        <v>1.25</v>
      </c>
      <c r="N46" s="26">
        <f ca="1">INDEX(CFHC_PIPE_SIZE, 15-COUNTIF(INDEX(CFHC_DATA, ,18-COUNTIF(CFHC_LENGTH,"&gt;="&amp;L46)),"&gt;="&amp;K46), 1)</f>
        <v>1.25</v>
      </c>
      <c r="O46" s="26">
        <f t="shared" ca="1" si="2"/>
        <v>1.25</v>
      </c>
      <c r="P46" s="26">
        <f t="shared" ca="1" si="3"/>
        <v>1.25</v>
      </c>
    </row>
    <row r="47" spans="1:16" x14ac:dyDescent="0.25">
      <c r="A47" t="s">
        <v>165</v>
      </c>
      <c r="B47" s="21" t="s">
        <v>161</v>
      </c>
      <c r="C47" s="26">
        <v>2.5</v>
      </c>
      <c r="D47" s="25" t="s">
        <v>149</v>
      </c>
      <c r="E47" s="77">
        <v>1</v>
      </c>
      <c r="F47" s="77">
        <f t="shared" si="4"/>
        <v>12.3</v>
      </c>
      <c r="H47" t="s">
        <v>173</v>
      </c>
      <c r="I47" t="s">
        <v>187</v>
      </c>
      <c r="J47" s="72">
        <v>120</v>
      </c>
      <c r="K47" s="72">
        <f t="shared" si="5"/>
        <v>120</v>
      </c>
      <c r="L47" s="64">
        <f ca="1">SUMPRODUCT(((OFFSET($B$37,MATCH(I47,$B$37:$B$112,0)-1,0):$B$112=I47)+(OFFSET($B$37,MATCH(I47,$B$37:$B$112,0)-1,0):$B$112="MAIN"))*(OFFSET($F$37,MATCH(I47,$B$37:$B$112,0)-1,0):$F$112))</f>
        <v>195.845</v>
      </c>
      <c r="M47" s="26">
        <f t="shared" ref="M47:M59" ca="1" si="8">INDEX(CFHC_PIPE_SIZE, 15-COUNTIF(INDEX(CFHC_DATA, ,18-COUNTIF(CFHC_LENGTH,"&gt;="&amp;L47)),"&gt;="&amp;J47), 1)</f>
        <v>1</v>
      </c>
      <c r="N47" s="26">
        <f t="shared" ref="N47:N59" ca="1" si="9">INDEX(CFHC_PIPE_SIZE, 15-COUNTIF(INDEX(CFHC_DATA, ,18-COUNTIF(CFHC_LENGTH,"&gt;="&amp;L47)),"&gt;="&amp;K47), 1)</f>
        <v>1</v>
      </c>
      <c r="O47" s="26">
        <f t="shared" ca="1" si="2"/>
        <v>1</v>
      </c>
      <c r="P47" s="26">
        <f t="shared" ca="1" si="3"/>
        <v>1</v>
      </c>
    </row>
    <row r="48" spans="1:16" x14ac:dyDescent="0.25">
      <c r="A48" t="s">
        <v>165</v>
      </c>
      <c r="B48" s="21" t="s">
        <v>167</v>
      </c>
      <c r="C48" s="26">
        <v>1</v>
      </c>
      <c r="D48" s="25" t="s">
        <v>162</v>
      </c>
      <c r="E48" s="77">
        <v>1</v>
      </c>
      <c r="F48" s="77">
        <f t="shared" si="4"/>
        <v>1.5</v>
      </c>
      <c r="H48" t="s">
        <v>173</v>
      </c>
      <c r="I48" t="s">
        <v>188</v>
      </c>
      <c r="J48" s="72">
        <v>120</v>
      </c>
      <c r="K48" s="72">
        <f t="shared" si="5"/>
        <v>240</v>
      </c>
      <c r="L48" s="64">
        <f ca="1">SUMPRODUCT(((OFFSET($B$37,MATCH(I48,$B$37:$B$112,0)-1,0):$B$112=I48)+(OFFSET($B$37,MATCH(I48,$B$37:$B$112,0)-1,0):$B$112="MAIN"))*(OFFSET($F$37,MATCH(I48,$B$37:$B$112,0)-1,0):$F$112))</f>
        <v>192.39500000000001</v>
      </c>
      <c r="M48" s="26">
        <f t="shared" ca="1" si="8"/>
        <v>1</v>
      </c>
      <c r="N48" s="26">
        <f t="shared" ca="1" si="9"/>
        <v>1.25</v>
      </c>
      <c r="O48" s="26">
        <f t="shared" ca="1" si="2"/>
        <v>1</v>
      </c>
      <c r="P48" s="26">
        <f t="shared" ca="1" si="3"/>
        <v>1.25</v>
      </c>
    </row>
    <row r="49" spans="1:16" x14ac:dyDescent="0.25">
      <c r="A49" t="s">
        <v>165</v>
      </c>
      <c r="B49" s="21" t="s">
        <v>167</v>
      </c>
      <c r="C49" s="26">
        <v>1</v>
      </c>
      <c r="D49" s="25" t="s">
        <v>160</v>
      </c>
      <c r="E49" s="77">
        <v>1</v>
      </c>
      <c r="F49" s="77">
        <f t="shared" si="4"/>
        <v>2.62</v>
      </c>
      <c r="H49" t="s">
        <v>173</v>
      </c>
      <c r="I49" t="s">
        <v>189</v>
      </c>
      <c r="J49" s="72">
        <v>120</v>
      </c>
      <c r="K49" s="72">
        <f t="shared" si="5"/>
        <v>360</v>
      </c>
      <c r="L49" s="64">
        <f ca="1">SUMPRODUCT(((OFFSET($B$37,MATCH(I49,$B$37:$B$112,0)-1,0):$B$112=I49)+(OFFSET($B$37,MATCH(I49,$B$37:$B$112,0)-1,0):$B$112="MAIN"))*(OFFSET($F$37,MATCH(I49,$B$37:$B$112,0)-1,0):$F$112))</f>
        <v>180.095</v>
      </c>
      <c r="M49" s="26">
        <f t="shared" ca="1" si="8"/>
        <v>1</v>
      </c>
      <c r="N49" s="26">
        <f t="shared" ca="1" si="9"/>
        <v>1.5</v>
      </c>
      <c r="O49" s="26">
        <f t="shared" ca="1" si="2"/>
        <v>1</v>
      </c>
      <c r="P49" s="26">
        <f t="shared" ca="1" si="3"/>
        <v>1.5</v>
      </c>
    </row>
    <row r="50" spans="1:16" x14ac:dyDescent="0.25">
      <c r="A50" t="s">
        <v>165</v>
      </c>
      <c r="B50" s="21" t="s">
        <v>161</v>
      </c>
      <c r="C50" s="26">
        <v>2.5</v>
      </c>
      <c r="D50" s="25" t="s">
        <v>149</v>
      </c>
      <c r="E50" s="77">
        <v>1</v>
      </c>
      <c r="F50" s="77">
        <f t="shared" si="4"/>
        <v>12.3</v>
      </c>
      <c r="H50" t="s">
        <v>173</v>
      </c>
      <c r="I50" s="21" t="s">
        <v>190</v>
      </c>
      <c r="J50" s="72">
        <v>150</v>
      </c>
      <c r="K50" s="72">
        <f t="shared" si="5"/>
        <v>510</v>
      </c>
      <c r="L50" s="64">
        <f ca="1">SUMPRODUCT(((OFFSET($B$37,MATCH(I50,$B$37:$B$112,0)-1,0):$B$112=I50)+(OFFSET($B$37,MATCH(I50,$B$37:$B$112,0)-1,0):$B$112="MAIN"))*(OFFSET($F$37,MATCH(I50,$B$37:$B$112,0)-1,0):$F$112))</f>
        <v>167.79499999999999</v>
      </c>
      <c r="M50" s="26">
        <f t="shared" ca="1" si="8"/>
        <v>1.25</v>
      </c>
      <c r="N50" s="26">
        <f t="shared" ca="1" si="9"/>
        <v>2</v>
      </c>
      <c r="O50" s="26">
        <f t="shared" ca="1" si="2"/>
        <v>1.25</v>
      </c>
      <c r="P50" s="26">
        <f t="shared" ca="1" si="3"/>
        <v>2</v>
      </c>
    </row>
    <row r="51" spans="1:16" x14ac:dyDescent="0.25">
      <c r="A51" t="s">
        <v>165</v>
      </c>
      <c r="B51" s="21" t="s">
        <v>166</v>
      </c>
      <c r="C51" s="26">
        <v>1</v>
      </c>
      <c r="D51" s="25" t="s">
        <v>162</v>
      </c>
      <c r="E51" s="77">
        <v>1</v>
      </c>
      <c r="F51" s="77">
        <f t="shared" si="4"/>
        <v>1.5</v>
      </c>
      <c r="H51" t="s">
        <v>173</v>
      </c>
      <c r="I51" s="21" t="s">
        <v>191</v>
      </c>
      <c r="J51" s="72">
        <v>150</v>
      </c>
      <c r="K51" s="72">
        <f t="shared" si="5"/>
        <v>660</v>
      </c>
      <c r="L51" s="64">
        <f ca="1">SUMPRODUCT(((OFFSET($B$37,MATCH(I51,$B$37:$B$112,0)-1,0):$B$112=I51)+(OFFSET($B$37,MATCH(I51,$B$37:$B$112,0)-1,0):$B$112="MAIN"))*(OFFSET($F$37,MATCH(I51,$B$37:$B$112,0)-1,0):$F$112))</f>
        <v>155.495</v>
      </c>
      <c r="M51" s="26">
        <f t="shared" ca="1" si="8"/>
        <v>1.25</v>
      </c>
      <c r="N51" s="26">
        <f t="shared" ca="1" si="9"/>
        <v>2</v>
      </c>
      <c r="O51" s="26">
        <f t="shared" ca="1" si="2"/>
        <v>1.25</v>
      </c>
      <c r="P51" s="26">
        <f t="shared" ca="1" si="3"/>
        <v>2</v>
      </c>
    </row>
    <row r="52" spans="1:16" x14ac:dyDescent="0.25">
      <c r="A52" t="s">
        <v>165</v>
      </c>
      <c r="B52" s="21" t="s">
        <v>166</v>
      </c>
      <c r="C52" s="26">
        <v>1</v>
      </c>
      <c r="D52" s="25" t="s">
        <v>160</v>
      </c>
      <c r="E52" s="77">
        <v>1</v>
      </c>
      <c r="F52" s="77">
        <f t="shared" si="4"/>
        <v>2.62</v>
      </c>
      <c r="H52" t="s">
        <v>173</v>
      </c>
      <c r="I52" s="21" t="s">
        <v>179</v>
      </c>
      <c r="J52" s="72">
        <v>160</v>
      </c>
      <c r="K52" s="72">
        <f t="shared" si="5"/>
        <v>820</v>
      </c>
      <c r="L52" s="64">
        <f ca="1">SUMPRODUCT(((OFFSET($B$37,MATCH(I52,$B$37:$B$112,0)-1,0):$B$112=I52)+(OFFSET($B$37,MATCH(I52,$B$37:$B$112,0)-1,0):$B$112="MAIN"))*(OFFSET($F$37,MATCH(I52,$B$37:$B$112,0)-1,0):$F$112))</f>
        <v>143.19499999999999</v>
      </c>
      <c r="M52" s="26">
        <f t="shared" ca="1" si="8"/>
        <v>1.25</v>
      </c>
      <c r="N52" s="26">
        <f t="shared" ca="1" si="9"/>
        <v>2</v>
      </c>
      <c r="O52" s="26">
        <f t="shared" ca="1" si="2"/>
        <v>1.25</v>
      </c>
      <c r="P52" s="26">
        <f t="shared" ca="1" si="3"/>
        <v>2</v>
      </c>
    </row>
    <row r="53" spans="1:16" x14ac:dyDescent="0.25">
      <c r="A53" t="s">
        <v>165</v>
      </c>
      <c r="B53" s="21" t="s">
        <v>161</v>
      </c>
      <c r="C53" s="26">
        <v>2.5</v>
      </c>
      <c r="D53" s="25" t="s">
        <v>149</v>
      </c>
      <c r="E53" s="77">
        <v>1</v>
      </c>
      <c r="F53" s="77">
        <f t="shared" si="4"/>
        <v>12.3</v>
      </c>
      <c r="H53" t="s">
        <v>173</v>
      </c>
      <c r="I53" s="21" t="s">
        <v>178</v>
      </c>
      <c r="J53" s="72">
        <v>220</v>
      </c>
      <c r="K53" s="72">
        <f t="shared" si="5"/>
        <v>1040</v>
      </c>
      <c r="L53" s="64">
        <f ca="1">SUMPRODUCT(((OFFSET($B$37,MATCH(I53,$B$37:$B$112,0)-1,0):$B$112=I53)+(OFFSET($B$37,MATCH(I53,$B$37:$B$112,0)-1,0):$B$112="MAIN"))*(OFFSET($F$37,MATCH(I53,$B$37:$B$112,0)-1,0):$F$112))</f>
        <v>131.83999999999997</v>
      </c>
      <c r="M53" s="26">
        <f t="shared" ca="1" si="8"/>
        <v>1.25</v>
      </c>
      <c r="N53" s="26">
        <f t="shared" ca="1" si="9"/>
        <v>2.5</v>
      </c>
      <c r="O53" s="26">
        <f t="shared" ca="1" si="2"/>
        <v>1.25</v>
      </c>
      <c r="P53" s="26">
        <f t="shared" ca="1" si="3"/>
        <v>2.5</v>
      </c>
    </row>
    <row r="54" spans="1:16" x14ac:dyDescent="0.25">
      <c r="A54" t="s">
        <v>165</v>
      </c>
      <c r="B54" s="21" t="s">
        <v>164</v>
      </c>
      <c r="C54" s="26">
        <v>1.25</v>
      </c>
      <c r="D54" s="25" t="s">
        <v>162</v>
      </c>
      <c r="E54" s="77">
        <v>1</v>
      </c>
      <c r="F54" s="77">
        <f t="shared" si="4"/>
        <v>1.875</v>
      </c>
      <c r="H54" t="s">
        <v>173</v>
      </c>
      <c r="I54" s="21" t="s">
        <v>177</v>
      </c>
      <c r="J54" s="72">
        <v>190</v>
      </c>
      <c r="K54" s="72">
        <f t="shared" si="5"/>
        <v>1230</v>
      </c>
      <c r="L54" s="64">
        <f ca="1">SUMPRODUCT(((OFFSET($B$37,MATCH(I54,$B$37:$B$112,0)-1,0):$B$112=I54)+(OFFSET($B$37,MATCH(I54,$B$37:$B$112,0)-1,0):$B$112="MAIN"))*(OFFSET($F$37,MATCH(I54,$B$37:$B$112,0)-1,0):$F$112))</f>
        <v>118.595</v>
      </c>
      <c r="M54" s="26">
        <f t="shared" ca="1" si="8"/>
        <v>1.25</v>
      </c>
      <c r="N54" s="26">
        <f t="shared" ca="1" si="9"/>
        <v>2.5</v>
      </c>
      <c r="O54" s="26">
        <f t="shared" ca="1" si="2"/>
        <v>1.25</v>
      </c>
      <c r="P54" s="26">
        <f t="shared" ca="1" si="3"/>
        <v>2.5</v>
      </c>
    </row>
    <row r="55" spans="1:16" x14ac:dyDescent="0.25">
      <c r="A55" t="s">
        <v>165</v>
      </c>
      <c r="B55" s="21" t="s">
        <v>164</v>
      </c>
      <c r="C55" s="26">
        <v>1.25</v>
      </c>
      <c r="D55" s="25" t="s">
        <v>160</v>
      </c>
      <c r="E55" s="77">
        <v>1</v>
      </c>
      <c r="F55" s="77">
        <f t="shared" si="4"/>
        <v>3.45</v>
      </c>
      <c r="H55" t="s">
        <v>173</v>
      </c>
      <c r="I55" s="21" t="s">
        <v>176</v>
      </c>
      <c r="J55" s="72">
        <v>150</v>
      </c>
      <c r="K55" s="72">
        <f t="shared" si="5"/>
        <v>1380</v>
      </c>
      <c r="L55" s="64">
        <f ca="1">SUMPRODUCT(((OFFSET($B$37,MATCH(I55,$B$37:$B$112,0)-1,0):$B$112=I55)+(OFFSET($B$37,MATCH(I55,$B$37:$B$112,0)-1,0):$B$112="MAIN"))*(OFFSET($F$37,MATCH(I55,$B$37:$B$112,0)-1,0):$F$112))</f>
        <v>106.29499999999999</v>
      </c>
      <c r="M55" s="26">
        <f t="shared" ca="1" si="8"/>
        <v>1</v>
      </c>
      <c r="N55" s="26">
        <f t="shared" ca="1" si="9"/>
        <v>2.5</v>
      </c>
      <c r="O55" s="26">
        <f t="shared" ca="1" si="2"/>
        <v>1.25</v>
      </c>
      <c r="P55" s="26">
        <f t="shared" ca="1" si="3"/>
        <v>3</v>
      </c>
    </row>
    <row r="56" spans="1:16" x14ac:dyDescent="0.25">
      <c r="A56" t="s">
        <v>165</v>
      </c>
      <c r="B56" s="21" t="s">
        <v>161</v>
      </c>
      <c r="C56" s="26">
        <v>2.5</v>
      </c>
      <c r="D56" s="25" t="s">
        <v>149</v>
      </c>
      <c r="E56" s="77">
        <v>1</v>
      </c>
      <c r="F56" s="77">
        <f t="shared" si="4"/>
        <v>12.3</v>
      </c>
      <c r="H56" t="s">
        <v>173</v>
      </c>
      <c r="I56" s="21" t="s">
        <v>175</v>
      </c>
      <c r="J56" s="72">
        <v>220</v>
      </c>
      <c r="K56" s="72">
        <f t="shared" si="5"/>
        <v>1600</v>
      </c>
      <c r="L56" s="64">
        <f ca="1">SUMPRODUCT(((OFFSET($B$37,MATCH(I56,$B$37:$B$112,0)-1,0):$B$112=I56)+(OFFSET($B$37,MATCH(I56,$B$37:$B$112,0)-1,0):$B$112="MAIN"))*(OFFSET($F$37,MATCH(I56,$B$37:$B$112,0)-1,0):$F$112))</f>
        <v>94.94</v>
      </c>
      <c r="M56" s="26">
        <f t="shared" ca="1" si="8"/>
        <v>1.25</v>
      </c>
      <c r="N56" s="26">
        <f t="shared" ca="1" si="9"/>
        <v>2.5</v>
      </c>
      <c r="O56" s="26">
        <f t="shared" ca="1" si="2"/>
        <v>1.25</v>
      </c>
      <c r="P56" s="26">
        <f t="shared" ca="1" si="3"/>
        <v>3</v>
      </c>
    </row>
    <row r="57" spans="1:16" x14ac:dyDescent="0.25">
      <c r="A57" t="s">
        <v>165</v>
      </c>
      <c r="B57" s="21" t="s">
        <v>163</v>
      </c>
      <c r="C57" s="26">
        <v>1.25</v>
      </c>
      <c r="D57" s="25" t="s">
        <v>162</v>
      </c>
      <c r="E57" s="77">
        <v>1</v>
      </c>
      <c r="F57" s="77">
        <f t="shared" si="4"/>
        <v>1.875</v>
      </c>
      <c r="H57" t="s">
        <v>173</v>
      </c>
      <c r="I57" s="21" t="s">
        <v>174</v>
      </c>
      <c r="J57" s="72">
        <v>120</v>
      </c>
      <c r="K57" s="72">
        <f t="shared" si="5"/>
        <v>1720</v>
      </c>
      <c r="L57" s="64">
        <f ca="1">SUMPRODUCT(((OFFSET($B$37,MATCH(I57,$B$37:$B$112,0)-1,0):$B$112=I57)+(OFFSET($B$37,MATCH(I57,$B$37:$B$112,0)-1,0):$B$112="MAIN"))*(OFFSET($F$37,MATCH(I57,$B$37:$B$112,0)-1,0):$F$112))</f>
        <v>78.694999999999993</v>
      </c>
      <c r="M57" s="26">
        <f t="shared" ca="1" si="8"/>
        <v>1</v>
      </c>
      <c r="N57" s="26">
        <f t="shared" ca="1" si="9"/>
        <v>2.5</v>
      </c>
      <c r="O57" s="26">
        <f t="shared" ca="1" si="2"/>
        <v>1</v>
      </c>
      <c r="P57" s="26">
        <f t="shared" ca="1" si="3"/>
        <v>3</v>
      </c>
    </row>
    <row r="58" spans="1:16" x14ac:dyDescent="0.25">
      <c r="A58" t="s">
        <v>165</v>
      </c>
      <c r="B58" s="21" t="s">
        <v>163</v>
      </c>
      <c r="C58" s="26">
        <v>1.25</v>
      </c>
      <c r="D58" s="25" t="s">
        <v>160</v>
      </c>
      <c r="E58" s="77">
        <v>1</v>
      </c>
      <c r="F58" s="77">
        <f t="shared" si="4"/>
        <v>3.45</v>
      </c>
      <c r="H58" t="s">
        <v>173</v>
      </c>
      <c r="I58" s="21" t="s">
        <v>192</v>
      </c>
      <c r="J58" s="72">
        <v>780</v>
      </c>
      <c r="K58" s="72">
        <f t="shared" si="5"/>
        <v>2500</v>
      </c>
      <c r="L58" s="64">
        <f ca="1">SUMPRODUCT(((OFFSET($B$37,MATCH(I58,$B$37:$B$112,0)-1,0):$B$112=I58)+(OFFSET($B$37,MATCH(I58,$B$37:$B$112,0)-1,0):$B$112="MAIN"))*(OFFSET($F$37,MATCH(I58,$B$37:$B$112,0)-1,0):$F$112))</f>
        <v>67.98</v>
      </c>
      <c r="M58" s="26">
        <f t="shared" ca="1" si="8"/>
        <v>2</v>
      </c>
      <c r="N58" s="26">
        <f t="shared" ca="1" si="9"/>
        <v>3</v>
      </c>
      <c r="O58" s="26">
        <f t="shared" ca="1" si="2"/>
        <v>2</v>
      </c>
      <c r="P58" s="26">
        <f t="shared" ca="1" si="3"/>
        <v>3</v>
      </c>
    </row>
    <row r="59" spans="1:16" x14ac:dyDescent="0.25">
      <c r="A59" t="s">
        <v>165</v>
      </c>
      <c r="B59" s="21" t="s">
        <v>161</v>
      </c>
      <c r="C59" s="26">
        <v>2.5</v>
      </c>
      <c r="D59" s="25" t="s">
        <v>149</v>
      </c>
      <c r="E59" s="77">
        <v>1</v>
      </c>
      <c r="F59" s="77">
        <f t="shared" si="4"/>
        <v>12.3</v>
      </c>
      <c r="H59" t="s">
        <v>173</v>
      </c>
      <c r="I59" s="21" t="s">
        <v>193</v>
      </c>
      <c r="J59" s="72">
        <v>780</v>
      </c>
      <c r="K59" s="72">
        <f t="shared" si="5"/>
        <v>3280</v>
      </c>
      <c r="L59" s="64">
        <f ca="1">SUMPRODUCT(((OFFSET($B$37,MATCH(I59,$B$37:$B$112,0)-1,0):$B$112=I59)+(OFFSET($B$37,MATCH(I59,$B$37:$B$112,0)-1,0):$B$112="MAIN"))*(OFFSET($F$37,MATCH(I59,$B$37:$B$112,0)-1,0):$F$112))</f>
        <v>52.680000000000007</v>
      </c>
      <c r="M59" s="26">
        <f t="shared" ca="1" si="8"/>
        <v>2</v>
      </c>
      <c r="N59" s="26">
        <f t="shared" ca="1" si="9"/>
        <v>3</v>
      </c>
      <c r="O59" s="26">
        <f t="shared" ca="1" si="2"/>
        <v>2</v>
      </c>
      <c r="P59" s="26">
        <f t="shared" ca="1" si="3"/>
        <v>4</v>
      </c>
    </row>
    <row r="60" spans="1:16" x14ac:dyDescent="0.25">
      <c r="A60" t="s">
        <v>165</v>
      </c>
      <c r="B60" s="21" t="s">
        <v>155</v>
      </c>
      <c r="C60" s="26">
        <v>1.25</v>
      </c>
      <c r="D60" s="25" t="s">
        <v>162</v>
      </c>
      <c r="E60" s="77">
        <v>1</v>
      </c>
      <c r="F60" s="77">
        <f t="shared" si="4"/>
        <v>1.875</v>
      </c>
    </row>
    <row r="61" spans="1:16" x14ac:dyDescent="0.25">
      <c r="A61" t="s">
        <v>165</v>
      </c>
      <c r="B61" s="21" t="s">
        <v>155</v>
      </c>
      <c r="C61" s="26">
        <v>1.25</v>
      </c>
      <c r="D61" s="25" t="s">
        <v>160</v>
      </c>
      <c r="E61" s="77">
        <v>1</v>
      </c>
      <c r="F61" s="77">
        <f t="shared" si="4"/>
        <v>3.45</v>
      </c>
    </row>
    <row r="62" spans="1:16" x14ac:dyDescent="0.25">
      <c r="A62" t="s">
        <v>165</v>
      </c>
      <c r="B62" s="21" t="s">
        <v>161</v>
      </c>
      <c r="C62" s="26">
        <v>3</v>
      </c>
      <c r="D62" s="25" t="s">
        <v>149</v>
      </c>
      <c r="E62" s="77">
        <v>2</v>
      </c>
      <c r="F62" s="77">
        <f t="shared" si="4"/>
        <v>30.6</v>
      </c>
    </row>
    <row r="63" spans="1:16" x14ac:dyDescent="0.25">
      <c r="A63" t="s">
        <v>165</v>
      </c>
      <c r="B63" s="21" t="s">
        <v>161</v>
      </c>
      <c r="C63" s="26">
        <v>3</v>
      </c>
      <c r="D63" s="25" t="s">
        <v>162</v>
      </c>
      <c r="E63" s="77">
        <v>1</v>
      </c>
      <c r="F63" s="77">
        <f t="shared" si="4"/>
        <v>4.5</v>
      </c>
    </row>
    <row r="64" spans="1:16" x14ac:dyDescent="0.25">
      <c r="A64" t="s">
        <v>165</v>
      </c>
      <c r="B64" s="21" t="s">
        <v>161</v>
      </c>
      <c r="C64" s="26">
        <v>3</v>
      </c>
      <c r="D64" s="25" t="s">
        <v>160</v>
      </c>
      <c r="E64" s="77">
        <v>1</v>
      </c>
      <c r="F64" s="77">
        <f t="shared" si="4"/>
        <v>7.67</v>
      </c>
    </row>
    <row r="65" spans="1:6" x14ac:dyDescent="0.25">
      <c r="A65" t="s">
        <v>165</v>
      </c>
      <c r="B65" s="21" t="s">
        <v>161</v>
      </c>
      <c r="C65" s="26">
        <v>4</v>
      </c>
      <c r="D65" s="25" t="s">
        <v>149</v>
      </c>
      <c r="E65" s="77">
        <v>1</v>
      </c>
      <c r="F65" s="77">
        <f t="shared" si="4"/>
        <v>20.2</v>
      </c>
    </row>
    <row r="66" spans="1:6" x14ac:dyDescent="0.25">
      <c r="A66" t="s">
        <v>165</v>
      </c>
      <c r="B66" s="21" t="s">
        <v>161</v>
      </c>
      <c r="C66" s="26">
        <v>4</v>
      </c>
      <c r="D66" s="25" t="s">
        <v>160</v>
      </c>
      <c r="E66" s="77">
        <v>1</v>
      </c>
      <c r="F66" s="77">
        <f t="shared" si="4"/>
        <v>10.1</v>
      </c>
    </row>
    <row r="67" spans="1:6" x14ac:dyDescent="0.25">
      <c r="A67" t="s">
        <v>284</v>
      </c>
      <c r="B67" s="174" t="s">
        <v>171</v>
      </c>
      <c r="C67" s="26">
        <v>1.25</v>
      </c>
      <c r="D67" s="25" t="s">
        <v>160</v>
      </c>
      <c r="E67" s="77">
        <v>1</v>
      </c>
      <c r="F67" s="77">
        <f t="shared" si="4"/>
        <v>3.45</v>
      </c>
    </row>
    <row r="68" spans="1:6" x14ac:dyDescent="0.25">
      <c r="A68" t="s">
        <v>284</v>
      </c>
      <c r="B68" s="174" t="s">
        <v>171</v>
      </c>
      <c r="C68" s="26">
        <v>1.25</v>
      </c>
      <c r="D68" s="25" t="s">
        <v>162</v>
      </c>
      <c r="E68" s="77">
        <v>1</v>
      </c>
      <c r="F68" s="77">
        <f t="shared" si="4"/>
        <v>1.875</v>
      </c>
    </row>
    <row r="69" spans="1:6" x14ac:dyDescent="0.25">
      <c r="A69" t="s">
        <v>284</v>
      </c>
      <c r="B69" s="174" t="s">
        <v>161</v>
      </c>
      <c r="C69" s="26">
        <v>3</v>
      </c>
      <c r="D69" s="25" t="s">
        <v>160</v>
      </c>
      <c r="E69" s="77">
        <v>1</v>
      </c>
      <c r="F69" s="77">
        <f t="shared" si="4"/>
        <v>7.67</v>
      </c>
    </row>
    <row r="70" spans="1:6" x14ac:dyDescent="0.25">
      <c r="A70" t="s">
        <v>284</v>
      </c>
      <c r="B70" s="174" t="s">
        <v>161</v>
      </c>
      <c r="C70" s="26">
        <v>3</v>
      </c>
      <c r="D70" s="25" t="s">
        <v>149</v>
      </c>
      <c r="E70" s="77">
        <v>1</v>
      </c>
      <c r="F70" s="77">
        <f t="shared" si="4"/>
        <v>15.3</v>
      </c>
    </row>
    <row r="71" spans="1:6" x14ac:dyDescent="0.25">
      <c r="A71" t="s">
        <v>284</v>
      </c>
      <c r="B71" s="174" t="s">
        <v>161</v>
      </c>
      <c r="C71" s="26">
        <v>4</v>
      </c>
      <c r="D71" s="25" t="s">
        <v>149</v>
      </c>
      <c r="E71" s="77">
        <v>1</v>
      </c>
      <c r="F71" s="77">
        <f t="shared" si="4"/>
        <v>20.2</v>
      </c>
    </row>
    <row r="72" spans="1:6" x14ac:dyDescent="0.25">
      <c r="A72" t="s">
        <v>173</v>
      </c>
      <c r="B72" s="174" t="s">
        <v>187</v>
      </c>
      <c r="C72" s="26">
        <v>1.25</v>
      </c>
      <c r="D72" s="25" t="s">
        <v>162</v>
      </c>
      <c r="E72" s="77">
        <v>1</v>
      </c>
      <c r="F72" s="77">
        <f t="shared" si="4"/>
        <v>1.875</v>
      </c>
    </row>
    <row r="73" spans="1:6" x14ac:dyDescent="0.25">
      <c r="A73" t="s">
        <v>173</v>
      </c>
      <c r="B73" s="174" t="s">
        <v>187</v>
      </c>
      <c r="C73" s="26">
        <v>1.25</v>
      </c>
      <c r="D73" s="25" t="s">
        <v>160</v>
      </c>
      <c r="E73" s="77">
        <v>2</v>
      </c>
      <c r="F73" s="77">
        <f t="shared" si="4"/>
        <v>6.9</v>
      </c>
    </row>
    <row r="74" spans="1:6" x14ac:dyDescent="0.25">
      <c r="A74" t="s">
        <v>173</v>
      </c>
      <c r="B74" s="174" t="s">
        <v>188</v>
      </c>
      <c r="C74" s="26">
        <v>1.25</v>
      </c>
      <c r="D74" s="25" t="s">
        <v>162</v>
      </c>
      <c r="E74" s="77">
        <v>1</v>
      </c>
      <c r="F74" s="77">
        <f t="shared" si="4"/>
        <v>1.875</v>
      </c>
    </row>
    <row r="75" spans="1:6" x14ac:dyDescent="0.25">
      <c r="A75" t="s">
        <v>173</v>
      </c>
      <c r="B75" s="174" t="s">
        <v>188</v>
      </c>
      <c r="C75" s="26">
        <v>1.25</v>
      </c>
      <c r="D75" s="25" t="s">
        <v>160</v>
      </c>
      <c r="E75" s="77">
        <v>1</v>
      </c>
      <c r="F75" s="77">
        <f t="shared" si="4"/>
        <v>3.45</v>
      </c>
    </row>
    <row r="76" spans="1:6" x14ac:dyDescent="0.25">
      <c r="A76" t="s">
        <v>173</v>
      </c>
      <c r="B76" s="174" t="s">
        <v>161</v>
      </c>
      <c r="C76" s="26">
        <v>2.5</v>
      </c>
      <c r="D76" s="25" t="s">
        <v>149</v>
      </c>
      <c r="E76" s="77">
        <v>1</v>
      </c>
      <c r="F76" s="77">
        <f t="shared" si="4"/>
        <v>12.3</v>
      </c>
    </row>
    <row r="77" spans="1:6" x14ac:dyDescent="0.25">
      <c r="A77" t="s">
        <v>173</v>
      </c>
      <c r="B77" s="174" t="s">
        <v>189</v>
      </c>
      <c r="C77" s="26">
        <v>1.25</v>
      </c>
      <c r="D77" s="25" t="s">
        <v>162</v>
      </c>
      <c r="E77" s="77">
        <v>1</v>
      </c>
      <c r="F77" s="77">
        <f t="shared" si="4"/>
        <v>1.875</v>
      </c>
    </row>
    <row r="78" spans="1:6" x14ac:dyDescent="0.25">
      <c r="A78" t="s">
        <v>173</v>
      </c>
      <c r="B78" s="174" t="s">
        <v>189</v>
      </c>
      <c r="C78" s="26">
        <v>1.25</v>
      </c>
      <c r="D78" s="25" t="s">
        <v>160</v>
      </c>
      <c r="E78" s="77">
        <v>1</v>
      </c>
      <c r="F78" s="77">
        <f t="shared" si="4"/>
        <v>3.45</v>
      </c>
    </row>
    <row r="79" spans="1:6" x14ac:dyDescent="0.25">
      <c r="A79" t="s">
        <v>173</v>
      </c>
      <c r="B79" s="174" t="s">
        <v>161</v>
      </c>
      <c r="C79" s="26">
        <v>2.5</v>
      </c>
      <c r="D79" s="25" t="s">
        <v>149</v>
      </c>
      <c r="E79" s="77">
        <v>1</v>
      </c>
      <c r="F79" s="77">
        <f t="shared" si="4"/>
        <v>12.3</v>
      </c>
    </row>
    <row r="80" spans="1:6" x14ac:dyDescent="0.25">
      <c r="A80" t="s">
        <v>173</v>
      </c>
      <c r="B80" s="174" t="s">
        <v>190</v>
      </c>
      <c r="C80" s="26">
        <v>1.25</v>
      </c>
      <c r="D80" s="25" t="s">
        <v>162</v>
      </c>
      <c r="E80" s="77">
        <v>1</v>
      </c>
      <c r="F80" s="77">
        <f t="shared" si="4"/>
        <v>1.875</v>
      </c>
    </row>
    <row r="81" spans="1:6" x14ac:dyDescent="0.25">
      <c r="A81" t="s">
        <v>173</v>
      </c>
      <c r="B81" s="174" t="s">
        <v>190</v>
      </c>
      <c r="C81" s="26">
        <v>1.25</v>
      </c>
      <c r="D81" s="25" t="s">
        <v>160</v>
      </c>
      <c r="E81" s="77">
        <v>1</v>
      </c>
      <c r="F81" s="77">
        <f t="shared" si="4"/>
        <v>3.45</v>
      </c>
    </row>
    <row r="82" spans="1:6" x14ac:dyDescent="0.25">
      <c r="A82" t="s">
        <v>173</v>
      </c>
      <c r="B82" s="174" t="s">
        <v>161</v>
      </c>
      <c r="C82" s="26">
        <v>2.5</v>
      </c>
      <c r="D82" s="25" t="s">
        <v>149</v>
      </c>
      <c r="E82" s="77">
        <v>1</v>
      </c>
      <c r="F82" s="77">
        <f t="shared" si="4"/>
        <v>12.3</v>
      </c>
    </row>
    <row r="83" spans="1:6" x14ac:dyDescent="0.25">
      <c r="A83" t="s">
        <v>173</v>
      </c>
      <c r="B83" s="174" t="s">
        <v>191</v>
      </c>
      <c r="C83" s="26">
        <v>1.25</v>
      </c>
      <c r="D83" s="25" t="s">
        <v>162</v>
      </c>
      <c r="E83" s="77">
        <v>1</v>
      </c>
      <c r="F83" s="77">
        <f t="shared" si="4"/>
        <v>1.875</v>
      </c>
    </row>
    <row r="84" spans="1:6" x14ac:dyDescent="0.25">
      <c r="A84" t="s">
        <v>173</v>
      </c>
      <c r="B84" s="174" t="s">
        <v>191</v>
      </c>
      <c r="C84" s="26">
        <v>1.25</v>
      </c>
      <c r="D84" s="25" t="s">
        <v>160</v>
      </c>
      <c r="E84" s="77">
        <v>1</v>
      </c>
      <c r="F84" s="77">
        <f t="shared" si="4"/>
        <v>3.45</v>
      </c>
    </row>
    <row r="85" spans="1:6" x14ac:dyDescent="0.25">
      <c r="A85" t="s">
        <v>173</v>
      </c>
      <c r="B85" s="174" t="s">
        <v>161</v>
      </c>
      <c r="C85" s="26">
        <v>2.5</v>
      </c>
      <c r="D85" s="25" t="s">
        <v>149</v>
      </c>
      <c r="E85" s="77">
        <v>1</v>
      </c>
      <c r="F85" s="77">
        <f t="shared" si="4"/>
        <v>12.3</v>
      </c>
    </row>
    <row r="86" spans="1:6" x14ac:dyDescent="0.25">
      <c r="A86" t="s">
        <v>173</v>
      </c>
      <c r="B86" s="174" t="s">
        <v>179</v>
      </c>
      <c r="C86" s="26">
        <v>1.25</v>
      </c>
      <c r="D86" s="25" t="s">
        <v>162</v>
      </c>
      <c r="E86" s="77">
        <v>1</v>
      </c>
      <c r="F86" s="77">
        <f t="shared" si="4"/>
        <v>1.875</v>
      </c>
    </row>
    <row r="87" spans="1:6" x14ac:dyDescent="0.25">
      <c r="A87" t="s">
        <v>173</v>
      </c>
      <c r="B87" s="174" t="s">
        <v>179</v>
      </c>
      <c r="C87" s="26">
        <v>1.25</v>
      </c>
      <c r="D87" s="25" t="s">
        <v>160</v>
      </c>
      <c r="E87" s="77">
        <v>1</v>
      </c>
      <c r="F87" s="77">
        <f t="shared" si="4"/>
        <v>3.45</v>
      </c>
    </row>
    <row r="88" spans="1:6" x14ac:dyDescent="0.25">
      <c r="A88" t="s">
        <v>173</v>
      </c>
      <c r="B88" s="174" t="s">
        <v>161</v>
      </c>
      <c r="C88" s="26">
        <v>2.5</v>
      </c>
      <c r="D88" s="25" t="s">
        <v>149</v>
      </c>
      <c r="E88" s="77">
        <v>1</v>
      </c>
      <c r="F88" s="77">
        <f t="shared" si="4"/>
        <v>12.3</v>
      </c>
    </row>
    <row r="89" spans="1:6" x14ac:dyDescent="0.25">
      <c r="A89" t="s">
        <v>173</v>
      </c>
      <c r="B89" s="174" t="s">
        <v>178</v>
      </c>
      <c r="C89" s="26">
        <v>1.5</v>
      </c>
      <c r="D89" s="25" t="s">
        <v>162</v>
      </c>
      <c r="E89" s="77">
        <v>1</v>
      </c>
      <c r="F89" s="77">
        <f t="shared" si="4"/>
        <v>2.25</v>
      </c>
    </row>
    <row r="90" spans="1:6" x14ac:dyDescent="0.25">
      <c r="A90" t="s">
        <v>173</v>
      </c>
      <c r="B90" s="174" t="s">
        <v>178</v>
      </c>
      <c r="C90" s="26">
        <v>1.5</v>
      </c>
      <c r="D90" s="25" t="s">
        <v>160</v>
      </c>
      <c r="E90" s="77">
        <v>1</v>
      </c>
      <c r="F90" s="77">
        <f t="shared" si="4"/>
        <v>4.0199999999999996</v>
      </c>
    </row>
    <row r="91" spans="1:6" x14ac:dyDescent="0.25">
      <c r="A91" t="s">
        <v>173</v>
      </c>
      <c r="B91" s="174" t="s">
        <v>161</v>
      </c>
      <c r="C91" s="26">
        <v>2.5</v>
      </c>
      <c r="D91" s="25" t="s">
        <v>149</v>
      </c>
      <c r="E91" s="77">
        <v>1</v>
      </c>
      <c r="F91" s="77">
        <f t="shared" si="4"/>
        <v>12.3</v>
      </c>
    </row>
    <row r="92" spans="1:6" x14ac:dyDescent="0.25">
      <c r="A92" t="s">
        <v>173</v>
      </c>
      <c r="B92" s="174" t="s">
        <v>177</v>
      </c>
      <c r="C92" s="26">
        <v>1.25</v>
      </c>
      <c r="D92" s="25" t="s">
        <v>162</v>
      </c>
      <c r="E92" s="77">
        <v>1</v>
      </c>
      <c r="F92" s="77">
        <f t="shared" si="4"/>
        <v>1.875</v>
      </c>
    </row>
    <row r="93" spans="1:6" x14ac:dyDescent="0.25">
      <c r="A93" t="s">
        <v>173</v>
      </c>
      <c r="B93" s="174" t="s">
        <v>177</v>
      </c>
      <c r="C93" s="26">
        <v>1.25</v>
      </c>
      <c r="D93" s="25" t="s">
        <v>160</v>
      </c>
      <c r="E93" s="77">
        <v>1</v>
      </c>
      <c r="F93" s="77">
        <f t="shared" si="4"/>
        <v>3.45</v>
      </c>
    </row>
    <row r="94" spans="1:6" x14ac:dyDescent="0.25">
      <c r="A94" t="s">
        <v>173</v>
      </c>
      <c r="B94" s="174" t="s">
        <v>161</v>
      </c>
      <c r="C94" s="26">
        <v>2.5</v>
      </c>
      <c r="D94" s="25" t="s">
        <v>149</v>
      </c>
      <c r="E94" s="77">
        <v>1</v>
      </c>
      <c r="F94" s="77">
        <f t="shared" si="4"/>
        <v>12.3</v>
      </c>
    </row>
    <row r="95" spans="1:6" x14ac:dyDescent="0.25">
      <c r="A95" t="s">
        <v>173</v>
      </c>
      <c r="B95" s="174" t="s">
        <v>176</v>
      </c>
      <c r="C95" s="26">
        <v>1.25</v>
      </c>
      <c r="D95" s="25" t="s">
        <v>162</v>
      </c>
      <c r="E95" s="77">
        <v>1</v>
      </c>
      <c r="F95" s="77">
        <f t="shared" si="4"/>
        <v>1.875</v>
      </c>
    </row>
    <row r="96" spans="1:6" x14ac:dyDescent="0.25">
      <c r="A96" t="s">
        <v>173</v>
      </c>
      <c r="B96" s="174" t="s">
        <v>176</v>
      </c>
      <c r="C96" s="26">
        <v>1.25</v>
      </c>
      <c r="D96" s="25" t="s">
        <v>160</v>
      </c>
      <c r="E96" s="77">
        <v>1</v>
      </c>
      <c r="F96" s="77">
        <f t="shared" si="4"/>
        <v>3.45</v>
      </c>
    </row>
    <row r="97" spans="1:6" x14ac:dyDescent="0.25">
      <c r="A97" t="s">
        <v>173</v>
      </c>
      <c r="B97" s="174" t="s">
        <v>161</v>
      </c>
      <c r="C97" s="26">
        <v>2.5</v>
      </c>
      <c r="D97" s="25" t="s">
        <v>149</v>
      </c>
      <c r="E97" s="77">
        <v>1</v>
      </c>
      <c r="F97" s="77">
        <f t="shared" si="4"/>
        <v>12.3</v>
      </c>
    </row>
    <row r="98" spans="1:6" x14ac:dyDescent="0.25">
      <c r="A98" t="s">
        <v>173</v>
      </c>
      <c r="B98" s="174" t="s">
        <v>175</v>
      </c>
      <c r="C98" s="26">
        <v>1.5</v>
      </c>
      <c r="D98" s="25" t="s">
        <v>162</v>
      </c>
      <c r="E98" s="77">
        <v>1</v>
      </c>
      <c r="F98" s="77">
        <f t="shared" si="4"/>
        <v>2.25</v>
      </c>
    </row>
    <row r="99" spans="1:6" x14ac:dyDescent="0.25">
      <c r="A99" t="s">
        <v>173</v>
      </c>
      <c r="B99" s="174" t="s">
        <v>175</v>
      </c>
      <c r="C99" s="26">
        <v>1.5</v>
      </c>
      <c r="D99" s="25" t="s">
        <v>160</v>
      </c>
      <c r="E99" s="77">
        <v>1</v>
      </c>
      <c r="F99" s="77">
        <f t="shared" si="4"/>
        <v>4.0199999999999996</v>
      </c>
    </row>
    <row r="100" spans="1:6" x14ac:dyDescent="0.25">
      <c r="A100" t="s">
        <v>173</v>
      </c>
      <c r="B100" s="174" t="s">
        <v>161</v>
      </c>
      <c r="C100" s="26">
        <v>3</v>
      </c>
      <c r="D100" s="25" t="s">
        <v>149</v>
      </c>
      <c r="E100" s="77">
        <v>1</v>
      </c>
      <c r="F100" s="77">
        <f t="shared" si="4"/>
        <v>15.3</v>
      </c>
    </row>
    <row r="101" spans="1:6" x14ac:dyDescent="0.25">
      <c r="A101" t="s">
        <v>173</v>
      </c>
      <c r="B101" s="174" t="s">
        <v>174</v>
      </c>
      <c r="C101" s="26">
        <v>1.25</v>
      </c>
      <c r="D101" s="25" t="s">
        <v>162</v>
      </c>
      <c r="E101" s="77">
        <v>1</v>
      </c>
      <c r="F101" s="77">
        <f t="shared" si="4"/>
        <v>1.875</v>
      </c>
    </row>
    <row r="102" spans="1:6" x14ac:dyDescent="0.25">
      <c r="A102" t="s">
        <v>173</v>
      </c>
      <c r="B102" s="174" t="s">
        <v>174</v>
      </c>
      <c r="C102" s="26">
        <v>1.25</v>
      </c>
      <c r="D102" s="25" t="s">
        <v>160</v>
      </c>
      <c r="E102" s="77">
        <v>1</v>
      </c>
      <c r="F102" s="77">
        <f t="shared" ref="F102:F112" si="10">VLOOKUP(C102, EQLC_CHART, MATCH(D102, EQLC_COLUMNS, 0), FALSE)*E102</f>
        <v>3.45</v>
      </c>
    </row>
    <row r="103" spans="1:6" x14ac:dyDescent="0.25">
      <c r="A103" t="s">
        <v>173</v>
      </c>
      <c r="B103" s="174" t="s">
        <v>161</v>
      </c>
      <c r="C103" s="26">
        <v>3</v>
      </c>
      <c r="D103" s="25" t="s">
        <v>149</v>
      </c>
      <c r="E103" s="77">
        <v>1</v>
      </c>
      <c r="F103" s="77">
        <f t="shared" si="10"/>
        <v>15.3</v>
      </c>
    </row>
    <row r="104" spans="1:6" x14ac:dyDescent="0.25">
      <c r="A104" t="s">
        <v>173</v>
      </c>
      <c r="B104" s="174" t="s">
        <v>192</v>
      </c>
      <c r="C104" s="26">
        <v>2.5</v>
      </c>
      <c r="D104" s="25" t="s">
        <v>162</v>
      </c>
      <c r="E104" s="77">
        <v>1</v>
      </c>
      <c r="F104" s="77">
        <f t="shared" si="10"/>
        <v>3.75</v>
      </c>
    </row>
    <row r="105" spans="1:6" x14ac:dyDescent="0.25">
      <c r="A105" t="s">
        <v>173</v>
      </c>
      <c r="B105" s="174" t="s">
        <v>192</v>
      </c>
      <c r="C105" s="26">
        <v>2.5</v>
      </c>
      <c r="D105" s="25" t="s">
        <v>160</v>
      </c>
      <c r="E105" s="77">
        <v>1</v>
      </c>
      <c r="F105" s="77">
        <f t="shared" si="10"/>
        <v>6.16</v>
      </c>
    </row>
    <row r="106" spans="1:6" x14ac:dyDescent="0.25">
      <c r="A106" t="s">
        <v>173</v>
      </c>
      <c r="B106" s="174" t="s">
        <v>161</v>
      </c>
      <c r="C106" s="26">
        <v>3</v>
      </c>
      <c r="D106" s="25" t="s">
        <v>149</v>
      </c>
      <c r="E106" s="77">
        <v>1</v>
      </c>
      <c r="F106" s="77">
        <f t="shared" si="10"/>
        <v>15.3</v>
      </c>
    </row>
    <row r="107" spans="1:6" x14ac:dyDescent="0.25">
      <c r="A107" t="s">
        <v>173</v>
      </c>
      <c r="B107" s="174" t="s">
        <v>193</v>
      </c>
      <c r="C107" s="26">
        <v>2.5</v>
      </c>
      <c r="D107" s="25" t="s">
        <v>162</v>
      </c>
      <c r="E107" s="77">
        <v>1</v>
      </c>
      <c r="F107" s="77">
        <f t="shared" si="10"/>
        <v>3.75</v>
      </c>
    </row>
    <row r="108" spans="1:6" x14ac:dyDescent="0.25">
      <c r="A108" t="s">
        <v>173</v>
      </c>
      <c r="B108" s="174" t="s">
        <v>193</v>
      </c>
      <c r="C108" s="26">
        <v>2.5</v>
      </c>
      <c r="D108" s="25" t="s">
        <v>160</v>
      </c>
      <c r="E108" s="77">
        <v>1</v>
      </c>
      <c r="F108" s="77">
        <f t="shared" si="10"/>
        <v>6.16</v>
      </c>
    </row>
    <row r="109" spans="1:6" x14ac:dyDescent="0.25">
      <c r="A109" t="s">
        <v>173</v>
      </c>
      <c r="B109" s="174" t="s">
        <v>161</v>
      </c>
      <c r="C109" s="26">
        <v>3</v>
      </c>
      <c r="D109" s="25" t="s">
        <v>149</v>
      </c>
      <c r="E109" s="77">
        <v>1</v>
      </c>
      <c r="F109" s="77">
        <f t="shared" si="10"/>
        <v>15.3</v>
      </c>
    </row>
    <row r="110" spans="1:6" x14ac:dyDescent="0.25">
      <c r="A110" t="s">
        <v>173</v>
      </c>
      <c r="B110" s="174" t="s">
        <v>161</v>
      </c>
      <c r="C110" s="26">
        <v>3</v>
      </c>
      <c r="D110" s="25" t="s">
        <v>162</v>
      </c>
      <c r="E110" s="77">
        <v>1</v>
      </c>
      <c r="F110" s="77">
        <f t="shared" si="10"/>
        <v>4.5</v>
      </c>
    </row>
    <row r="111" spans="1:6" x14ac:dyDescent="0.25">
      <c r="A111" t="s">
        <v>173</v>
      </c>
      <c r="B111" s="174" t="s">
        <v>161</v>
      </c>
      <c r="C111" s="26">
        <v>3</v>
      </c>
      <c r="D111" s="25" t="s">
        <v>149</v>
      </c>
      <c r="E111" s="77">
        <v>1</v>
      </c>
      <c r="F111" s="77">
        <f t="shared" si="10"/>
        <v>15.3</v>
      </c>
    </row>
    <row r="112" spans="1:6" x14ac:dyDescent="0.25">
      <c r="A112" t="s">
        <v>173</v>
      </c>
      <c r="B112" s="174" t="s">
        <v>161</v>
      </c>
      <c r="C112" s="26">
        <v>3</v>
      </c>
      <c r="D112" s="25" t="s">
        <v>160</v>
      </c>
      <c r="E112" s="77">
        <v>1</v>
      </c>
      <c r="F112" s="77">
        <f t="shared" si="10"/>
        <v>7.67</v>
      </c>
    </row>
    <row r="113" spans="1:11" x14ac:dyDescent="0.25">
      <c r="B113" s="21"/>
      <c r="C113" s="25"/>
      <c r="E113" s="25"/>
      <c r="F113" s="64"/>
    </row>
    <row r="114" spans="1:11" x14ac:dyDescent="0.25">
      <c r="B114" s="21"/>
      <c r="C114" s="25"/>
      <c r="E114" s="25"/>
      <c r="F114" s="64"/>
    </row>
    <row r="115" spans="1:11" x14ac:dyDescent="0.25">
      <c r="B115" s="21"/>
      <c r="C115" s="25"/>
      <c r="E115" s="25"/>
      <c r="F115" s="64"/>
    </row>
    <row r="116" spans="1:11" x14ac:dyDescent="0.25">
      <c r="B116" s="21"/>
      <c r="C116" s="25"/>
      <c r="E116" s="25"/>
      <c r="F116" s="64"/>
    </row>
    <row r="117" spans="1:11" x14ac:dyDescent="0.25">
      <c r="B117" s="72"/>
    </row>
    <row r="120" spans="1:11" x14ac:dyDescent="0.25">
      <c r="A120" s="14" t="s">
        <v>165</v>
      </c>
    </row>
    <row r="121" spans="1:11" x14ac:dyDescent="0.25">
      <c r="A121" s="14" t="s">
        <v>203</v>
      </c>
      <c r="B121" s="63" t="s">
        <v>158</v>
      </c>
      <c r="C121" s="63" t="s">
        <v>156</v>
      </c>
      <c r="D121" s="63" t="s">
        <v>157</v>
      </c>
      <c r="E121" s="63" t="s">
        <v>180</v>
      </c>
      <c r="F121" s="63"/>
      <c r="G121" s="63"/>
      <c r="H121" s="63"/>
      <c r="I121" s="63"/>
      <c r="J121" s="63"/>
      <c r="K121" s="63"/>
    </row>
    <row r="122" spans="1:11" x14ac:dyDescent="0.25">
      <c r="A122" t="s">
        <v>185</v>
      </c>
      <c r="B122" s="26">
        <v>1.25</v>
      </c>
      <c r="C122" s="25" t="s">
        <v>162</v>
      </c>
      <c r="D122" s="25">
        <v>1</v>
      </c>
      <c r="E122" s="77">
        <f>VLOOKUP(B122, EQLC_CHART, MATCH(C122, EQLC_COLUMNS, 0), FALSE)*D122</f>
        <v>1.875</v>
      </c>
      <c r="F122" s="73"/>
      <c r="G122" s="63"/>
      <c r="H122" s="63"/>
      <c r="I122" s="63"/>
      <c r="J122" s="63"/>
      <c r="K122" s="63"/>
    </row>
    <row r="123" spans="1:11" x14ac:dyDescent="0.25">
      <c r="A123" t="s">
        <v>185</v>
      </c>
      <c r="B123" s="26">
        <v>1.25</v>
      </c>
      <c r="C123" s="25" t="s">
        <v>160</v>
      </c>
      <c r="D123" s="25">
        <v>2</v>
      </c>
      <c r="E123" s="77">
        <f t="shared" ref="E123:E151" si="11">VLOOKUP(B123, EQLC_CHART, MATCH(C123, EQLC_COLUMNS, 0), FALSE)*D123</f>
        <v>6.9</v>
      </c>
      <c r="F123" s="73"/>
      <c r="G123" s="63"/>
      <c r="H123" s="63"/>
      <c r="I123" s="63"/>
      <c r="J123" s="63"/>
      <c r="K123" s="63"/>
    </row>
    <row r="124" spans="1:11" x14ac:dyDescent="0.25">
      <c r="A124" t="s">
        <v>170</v>
      </c>
      <c r="B124" s="26">
        <v>1</v>
      </c>
      <c r="C124" s="25" t="s">
        <v>162</v>
      </c>
      <c r="D124" s="25">
        <v>1</v>
      </c>
      <c r="E124" s="77">
        <f t="shared" si="11"/>
        <v>1.5</v>
      </c>
      <c r="F124" s="73"/>
      <c r="G124" s="64"/>
      <c r="H124" s="26"/>
      <c r="I124" s="26"/>
      <c r="J124" s="26"/>
      <c r="K124" s="26"/>
    </row>
    <row r="125" spans="1:11" x14ac:dyDescent="0.25">
      <c r="A125" t="s">
        <v>170</v>
      </c>
      <c r="B125" s="26">
        <v>1</v>
      </c>
      <c r="C125" s="25" t="s">
        <v>160</v>
      </c>
      <c r="D125" s="25">
        <v>1</v>
      </c>
      <c r="E125" s="77">
        <f t="shared" si="11"/>
        <v>2.62</v>
      </c>
      <c r="F125" s="73"/>
      <c r="G125" s="64"/>
      <c r="H125" s="25"/>
      <c r="I125" s="25"/>
    </row>
    <row r="126" spans="1:11" x14ac:dyDescent="0.25">
      <c r="A126" t="s">
        <v>161</v>
      </c>
      <c r="B126" s="26">
        <v>2.5</v>
      </c>
      <c r="C126" s="25" t="s">
        <v>149</v>
      </c>
      <c r="D126" s="25">
        <v>1</v>
      </c>
      <c r="E126" s="77">
        <f t="shared" si="11"/>
        <v>12.3</v>
      </c>
      <c r="F126" s="73"/>
      <c r="G126" s="64"/>
      <c r="H126" s="25"/>
      <c r="I126" s="25"/>
    </row>
    <row r="127" spans="1:11" x14ac:dyDescent="0.25">
      <c r="A127" t="s">
        <v>169</v>
      </c>
      <c r="B127" s="26">
        <v>2.5</v>
      </c>
      <c r="C127" s="25" t="s">
        <v>162</v>
      </c>
      <c r="D127" s="25">
        <v>1</v>
      </c>
      <c r="E127" s="77">
        <f t="shared" si="11"/>
        <v>3.75</v>
      </c>
      <c r="F127" s="73"/>
      <c r="G127" s="64"/>
      <c r="H127" s="25"/>
      <c r="I127" s="25"/>
      <c r="J127" s="26"/>
      <c r="K127" s="26"/>
    </row>
    <row r="128" spans="1:11" x14ac:dyDescent="0.25">
      <c r="A128" t="s">
        <v>169</v>
      </c>
      <c r="B128" s="26">
        <v>2.5</v>
      </c>
      <c r="C128" s="25" t="s">
        <v>160</v>
      </c>
      <c r="D128" s="25">
        <v>1</v>
      </c>
      <c r="E128" s="77">
        <f t="shared" si="11"/>
        <v>6.16</v>
      </c>
      <c r="F128" s="73"/>
      <c r="G128" s="64"/>
      <c r="H128" s="25"/>
      <c r="I128" s="25"/>
    </row>
    <row r="129" spans="1:11" x14ac:dyDescent="0.25">
      <c r="A129" t="s">
        <v>161</v>
      </c>
      <c r="B129" s="26">
        <v>2.5</v>
      </c>
      <c r="C129" s="25" t="s">
        <v>149</v>
      </c>
      <c r="D129" s="25">
        <v>1</v>
      </c>
      <c r="E129" s="77">
        <f t="shared" si="11"/>
        <v>12.3</v>
      </c>
      <c r="F129" s="73"/>
      <c r="G129" s="64"/>
      <c r="H129" s="25"/>
      <c r="I129" s="25"/>
    </row>
    <row r="130" spans="1:11" x14ac:dyDescent="0.25">
      <c r="A130" t="s">
        <v>168</v>
      </c>
      <c r="B130" s="26">
        <v>1</v>
      </c>
      <c r="C130" s="25" t="s">
        <v>162</v>
      </c>
      <c r="D130" s="25">
        <v>1</v>
      </c>
      <c r="E130" s="77">
        <f t="shared" si="11"/>
        <v>1.5</v>
      </c>
      <c r="F130" s="73"/>
      <c r="G130" s="64"/>
      <c r="H130" s="25"/>
      <c r="I130" s="25"/>
      <c r="J130" s="26"/>
      <c r="K130" s="26"/>
    </row>
    <row r="131" spans="1:11" x14ac:dyDescent="0.25">
      <c r="A131" t="s">
        <v>168</v>
      </c>
      <c r="B131" s="26">
        <v>1</v>
      </c>
      <c r="C131" s="25" t="s">
        <v>160</v>
      </c>
      <c r="D131" s="25">
        <v>1</v>
      </c>
      <c r="E131" s="77">
        <f t="shared" si="11"/>
        <v>2.62</v>
      </c>
      <c r="F131" s="73"/>
      <c r="G131" s="64"/>
      <c r="H131" s="25"/>
      <c r="I131" s="25"/>
    </row>
    <row r="132" spans="1:11" x14ac:dyDescent="0.25">
      <c r="A132" t="s">
        <v>161</v>
      </c>
      <c r="B132" s="26">
        <v>2.5</v>
      </c>
      <c r="C132" s="25" t="s">
        <v>149</v>
      </c>
      <c r="D132" s="25">
        <v>1</v>
      </c>
      <c r="E132" s="77">
        <f t="shared" si="11"/>
        <v>12.3</v>
      </c>
      <c r="F132" s="73"/>
      <c r="G132" s="64"/>
      <c r="H132" s="25"/>
      <c r="I132" s="25"/>
    </row>
    <row r="133" spans="1:11" x14ac:dyDescent="0.25">
      <c r="A133" t="s">
        <v>167</v>
      </c>
      <c r="B133" s="26">
        <v>1</v>
      </c>
      <c r="C133" s="25" t="s">
        <v>162</v>
      </c>
      <c r="D133" s="25">
        <v>1</v>
      </c>
      <c r="E133" s="77">
        <f t="shared" si="11"/>
        <v>1.5</v>
      </c>
      <c r="F133" s="73"/>
      <c r="G133" s="64"/>
      <c r="H133" s="25"/>
      <c r="I133" s="25"/>
      <c r="J133" s="26"/>
      <c r="K133" s="26"/>
    </row>
    <row r="134" spans="1:11" x14ac:dyDescent="0.25">
      <c r="A134" t="s">
        <v>167</v>
      </c>
      <c r="B134" s="26">
        <v>1</v>
      </c>
      <c r="C134" s="25" t="s">
        <v>160</v>
      </c>
      <c r="D134" s="25">
        <v>1</v>
      </c>
      <c r="E134" s="77">
        <f t="shared" si="11"/>
        <v>2.62</v>
      </c>
      <c r="F134" s="73"/>
      <c r="G134" s="64"/>
      <c r="H134" s="25"/>
      <c r="I134" s="25"/>
    </row>
    <row r="135" spans="1:11" x14ac:dyDescent="0.25">
      <c r="A135" t="s">
        <v>161</v>
      </c>
      <c r="B135" s="26">
        <v>2.5</v>
      </c>
      <c r="C135" s="25" t="s">
        <v>149</v>
      </c>
      <c r="D135" s="25">
        <v>1</v>
      </c>
      <c r="E135" s="77">
        <f t="shared" si="11"/>
        <v>12.3</v>
      </c>
      <c r="F135" s="73"/>
      <c r="G135" s="64"/>
      <c r="H135" s="25"/>
      <c r="I135" s="25"/>
    </row>
    <row r="136" spans="1:11" x14ac:dyDescent="0.25">
      <c r="A136" t="s">
        <v>166</v>
      </c>
      <c r="B136" s="26">
        <v>1</v>
      </c>
      <c r="C136" s="25" t="s">
        <v>162</v>
      </c>
      <c r="D136" s="25">
        <v>1</v>
      </c>
      <c r="E136" s="77">
        <f t="shared" si="11"/>
        <v>1.5</v>
      </c>
      <c r="F136" s="73"/>
      <c r="G136" s="64"/>
      <c r="H136" s="25"/>
      <c r="I136" s="25"/>
      <c r="J136" s="26"/>
      <c r="K136" s="26"/>
    </row>
    <row r="137" spans="1:11" x14ac:dyDescent="0.25">
      <c r="A137" t="s">
        <v>166</v>
      </c>
      <c r="B137" s="26">
        <v>1</v>
      </c>
      <c r="C137" s="25" t="s">
        <v>160</v>
      </c>
      <c r="D137" s="25">
        <v>1</v>
      </c>
      <c r="E137" s="77">
        <f t="shared" si="11"/>
        <v>2.62</v>
      </c>
      <c r="F137" s="73"/>
      <c r="G137" s="64"/>
      <c r="H137" s="25"/>
      <c r="I137" s="25"/>
    </row>
    <row r="138" spans="1:11" x14ac:dyDescent="0.25">
      <c r="A138" t="s">
        <v>161</v>
      </c>
      <c r="B138" s="26">
        <v>2.5</v>
      </c>
      <c r="C138" s="25" t="s">
        <v>149</v>
      </c>
      <c r="D138" s="25">
        <v>1</v>
      </c>
      <c r="E138" s="77">
        <f t="shared" si="11"/>
        <v>12.3</v>
      </c>
      <c r="F138" s="73"/>
      <c r="G138" s="64"/>
      <c r="H138" s="25"/>
      <c r="I138" s="25"/>
    </row>
    <row r="139" spans="1:11" x14ac:dyDescent="0.25">
      <c r="A139" t="s">
        <v>164</v>
      </c>
      <c r="B139" s="26">
        <v>1.25</v>
      </c>
      <c r="C139" s="25" t="s">
        <v>162</v>
      </c>
      <c r="D139" s="25">
        <v>1</v>
      </c>
      <c r="E139" s="77">
        <f t="shared" si="11"/>
        <v>1.875</v>
      </c>
      <c r="F139" s="73"/>
      <c r="G139" s="64"/>
      <c r="H139" s="25"/>
      <c r="I139" s="25"/>
      <c r="J139" s="26"/>
      <c r="K139" s="26"/>
    </row>
    <row r="140" spans="1:11" x14ac:dyDescent="0.25">
      <c r="A140" t="s">
        <v>164</v>
      </c>
      <c r="B140" s="26">
        <v>1.25</v>
      </c>
      <c r="C140" s="25" t="s">
        <v>160</v>
      </c>
      <c r="D140" s="25">
        <v>1</v>
      </c>
      <c r="E140" s="77">
        <f t="shared" si="11"/>
        <v>3.45</v>
      </c>
      <c r="F140" s="73"/>
      <c r="G140" s="64"/>
      <c r="H140" s="25"/>
      <c r="I140" s="25"/>
    </row>
    <row r="141" spans="1:11" x14ac:dyDescent="0.25">
      <c r="A141" t="s">
        <v>161</v>
      </c>
      <c r="B141" s="26">
        <v>2.5</v>
      </c>
      <c r="C141" s="25" t="s">
        <v>149</v>
      </c>
      <c r="D141" s="25">
        <v>1</v>
      </c>
      <c r="E141" s="77">
        <f t="shared" si="11"/>
        <v>12.3</v>
      </c>
      <c r="F141" s="73"/>
      <c r="G141" s="64"/>
      <c r="H141" s="25"/>
      <c r="I141" s="25"/>
    </row>
    <row r="142" spans="1:11" x14ac:dyDescent="0.25">
      <c r="A142" t="s">
        <v>163</v>
      </c>
      <c r="B142" s="26">
        <v>1.25</v>
      </c>
      <c r="C142" s="25" t="s">
        <v>162</v>
      </c>
      <c r="D142" s="25">
        <v>1</v>
      </c>
      <c r="E142" s="77">
        <f t="shared" si="11"/>
        <v>1.875</v>
      </c>
      <c r="F142" s="73"/>
      <c r="G142" s="64"/>
      <c r="H142" s="25"/>
      <c r="I142" s="25"/>
      <c r="J142" s="26"/>
      <c r="K142" s="26"/>
    </row>
    <row r="143" spans="1:11" x14ac:dyDescent="0.25">
      <c r="A143" t="s">
        <v>163</v>
      </c>
      <c r="B143" s="26">
        <v>1.25</v>
      </c>
      <c r="C143" s="25" t="s">
        <v>160</v>
      </c>
      <c r="D143" s="25">
        <v>1</v>
      </c>
      <c r="E143" s="77">
        <f t="shared" si="11"/>
        <v>3.45</v>
      </c>
      <c r="F143" s="73"/>
      <c r="G143" s="64"/>
      <c r="H143" s="25"/>
      <c r="I143" s="25"/>
    </row>
    <row r="144" spans="1:11" x14ac:dyDescent="0.25">
      <c r="A144" t="s">
        <v>161</v>
      </c>
      <c r="B144" s="26">
        <v>2.5</v>
      </c>
      <c r="C144" s="25" t="s">
        <v>149</v>
      </c>
      <c r="D144" s="25">
        <v>1</v>
      </c>
      <c r="E144" s="77">
        <f t="shared" si="11"/>
        <v>12.3</v>
      </c>
      <c r="F144" s="73"/>
      <c r="G144" s="64"/>
      <c r="H144" s="25"/>
      <c r="I144" s="25"/>
    </row>
    <row r="145" spans="1:11" x14ac:dyDescent="0.25">
      <c r="A145" t="s">
        <v>155</v>
      </c>
      <c r="B145" s="26">
        <v>1.25</v>
      </c>
      <c r="C145" s="25" t="s">
        <v>162</v>
      </c>
      <c r="D145" s="25">
        <v>1</v>
      </c>
      <c r="E145" s="77">
        <f t="shared" si="11"/>
        <v>1.875</v>
      </c>
      <c r="F145" s="73"/>
      <c r="G145" s="64"/>
      <c r="H145" s="25"/>
      <c r="I145" s="25"/>
      <c r="K145" s="26"/>
    </row>
    <row r="146" spans="1:11" x14ac:dyDescent="0.25">
      <c r="A146" t="s">
        <v>155</v>
      </c>
      <c r="B146" s="26">
        <v>1.25</v>
      </c>
      <c r="C146" s="25" t="s">
        <v>160</v>
      </c>
      <c r="D146" s="25">
        <v>1</v>
      </c>
      <c r="E146" s="77">
        <f t="shared" si="11"/>
        <v>3.45</v>
      </c>
      <c r="F146" s="73"/>
      <c r="G146" s="64"/>
      <c r="H146" s="25"/>
      <c r="I146" s="25"/>
    </row>
    <row r="147" spans="1:11" x14ac:dyDescent="0.25">
      <c r="A147" t="s">
        <v>161</v>
      </c>
      <c r="B147" s="26">
        <v>3</v>
      </c>
      <c r="C147" s="25" t="s">
        <v>149</v>
      </c>
      <c r="D147" s="25">
        <v>2</v>
      </c>
      <c r="E147" s="77">
        <f t="shared" si="11"/>
        <v>30.6</v>
      </c>
      <c r="F147" s="73"/>
      <c r="G147" s="64"/>
      <c r="H147" s="25"/>
      <c r="I147" s="25"/>
    </row>
    <row r="148" spans="1:11" x14ac:dyDescent="0.25">
      <c r="A148" t="s">
        <v>161</v>
      </c>
      <c r="B148" s="26">
        <v>3</v>
      </c>
      <c r="C148" s="25" t="s">
        <v>162</v>
      </c>
      <c r="D148" s="25">
        <v>1</v>
      </c>
      <c r="E148" s="77">
        <f t="shared" si="11"/>
        <v>4.5</v>
      </c>
      <c r="F148" s="73"/>
      <c r="G148" s="64"/>
      <c r="H148" s="25"/>
      <c r="I148" s="25"/>
    </row>
    <row r="149" spans="1:11" x14ac:dyDescent="0.25">
      <c r="A149" t="s">
        <v>161</v>
      </c>
      <c r="B149" s="26">
        <v>3</v>
      </c>
      <c r="C149" s="25" t="s">
        <v>160</v>
      </c>
      <c r="D149" s="25">
        <v>1</v>
      </c>
      <c r="E149" s="77">
        <f t="shared" si="11"/>
        <v>7.67</v>
      </c>
      <c r="F149" s="73"/>
      <c r="G149" s="64"/>
      <c r="H149" s="25"/>
      <c r="I149" s="25"/>
    </row>
    <row r="150" spans="1:11" x14ac:dyDescent="0.25">
      <c r="A150" s="21" t="s">
        <v>161</v>
      </c>
      <c r="B150" s="26">
        <v>4</v>
      </c>
      <c r="C150" s="25" t="s">
        <v>149</v>
      </c>
      <c r="D150" s="25">
        <v>1</v>
      </c>
      <c r="E150" s="77">
        <f t="shared" si="11"/>
        <v>20.2</v>
      </c>
      <c r="F150" s="73"/>
      <c r="G150" s="64"/>
      <c r="H150" s="25"/>
      <c r="I150" s="25"/>
    </row>
    <row r="151" spans="1:11" x14ac:dyDescent="0.25">
      <c r="A151" s="21" t="s">
        <v>161</v>
      </c>
      <c r="B151" s="26">
        <v>4</v>
      </c>
      <c r="C151" s="25" t="s">
        <v>160</v>
      </c>
      <c r="D151" s="25">
        <v>1</v>
      </c>
      <c r="E151" s="77">
        <f t="shared" si="11"/>
        <v>10.1</v>
      </c>
      <c r="F151" s="73"/>
      <c r="G151" s="64"/>
      <c r="H151" s="25"/>
      <c r="I151" s="25"/>
    </row>
    <row r="152" spans="1:11" x14ac:dyDescent="0.25">
      <c r="A152" s="21"/>
      <c r="B152" s="26"/>
      <c r="C152" s="25"/>
      <c r="E152" s="25"/>
      <c r="F152" s="73"/>
      <c r="G152" s="64"/>
      <c r="H152" s="25"/>
      <c r="I152" s="25"/>
    </row>
    <row r="153" spans="1:11" x14ac:dyDescent="0.25">
      <c r="A153" s="75" t="s">
        <v>165</v>
      </c>
      <c r="H153" s="25"/>
      <c r="I153" s="25"/>
    </row>
    <row r="154" spans="1:11" x14ac:dyDescent="0.25">
      <c r="A154" s="14" t="s">
        <v>203</v>
      </c>
      <c r="B154" s="63" t="s">
        <v>202</v>
      </c>
      <c r="C154" s="63" t="s">
        <v>200</v>
      </c>
      <c r="D154" s="63" t="s">
        <v>201</v>
      </c>
      <c r="E154" s="63" t="s">
        <v>197</v>
      </c>
      <c r="F154" s="63" t="s">
        <v>199</v>
      </c>
      <c r="G154" s="63" t="s">
        <v>281</v>
      </c>
      <c r="H154" s="63" t="s">
        <v>282</v>
      </c>
      <c r="I154" s="63"/>
      <c r="K154" s="69"/>
    </row>
    <row r="155" spans="1:11" x14ac:dyDescent="0.25">
      <c r="A155" t="s">
        <v>185</v>
      </c>
      <c r="B155" s="72">
        <v>200</v>
      </c>
      <c r="C155" s="72">
        <f>B155</f>
        <v>200</v>
      </c>
      <c r="D155" s="64">
        <f ca="1">SUMPRODUCT(((OFFSET($A$122,MATCH(A155,$A$122:$A$151,0)-1,0):$A$151=A155)+(OFFSET($A$122,MATCH(A155,$A$122:$A$151,0)-1,0):$A$151="MAIN"))*(OFFSET($E$122,MATCH(A155,$A$122:$A$151,0)-1,0):$E$151))</f>
        <v>167.94499999999996</v>
      </c>
      <c r="E155" s="26">
        <f ca="1">INDEX(CFHC_PIPE_SIZE, 15-COUNTIF(INDEX(CFHC_DATA, ,18-COUNTIF(CFHC_LENGTH,"&gt;="&amp;D155)),"&gt;="&amp;B155), 1)</f>
        <v>1.25</v>
      </c>
      <c r="F155" s="26">
        <f ca="1">INDEX(CFHC_PIPE_SIZE, 15-COUNTIF(INDEX(CFHC_DATA, ,18-COUNTIF(CFHC_LENGTH,"&gt;="&amp;D155)),"&gt;="&amp;C155), 1)</f>
        <v>1.25</v>
      </c>
      <c r="G155" s="26">
        <f t="shared" ref="G155:G163" ca="1" si="12">INDEX(CFHC_PIPE_SIZE, 15-COUNTIF(INDEX(CFHC_DATA, ,18-COUNTIF(CFHC_LENGTH,"&gt;="&amp;MAX($D:$D))),"&gt;="&amp;B155), 1)</f>
        <v>1.25</v>
      </c>
      <c r="H155" s="26">
        <f t="shared" ref="H155:H163" ca="1" si="13">INDEX(CFHC_PIPE_SIZE, 15-COUNTIF(INDEX(CFHC_DATA, ,18-COUNTIF(CFHC_LENGTH,"&gt;="&amp;MAX($D:$D))),"&gt;="&amp;C155), 1)</f>
        <v>1.25</v>
      </c>
      <c r="I155" s="26"/>
    </row>
    <row r="156" spans="1:11" x14ac:dyDescent="0.25">
      <c r="A156" t="s">
        <v>170</v>
      </c>
      <c r="B156" s="72">
        <v>100</v>
      </c>
      <c r="C156" s="72">
        <f t="shared" ref="C156:C163" si="14">C155+B156</f>
        <v>300</v>
      </c>
      <c r="D156" s="64">
        <f ca="1">SUMPRODUCT(((OFFSET($A$122,MATCH(A156,$A$122:$A$151,0)-1,0):$A$151=A156)+(OFFSET($A$122,MATCH(A156,$A$122:$A$151,0)-1,0):$A$151="MAIN"))*(OFFSET($E$122,MATCH(A156,$A$122:$A$151,0)-1,0):$E$151))</f>
        <v>163.28999999999996</v>
      </c>
      <c r="E156" s="26">
        <f t="shared" ref="E156:E163" ca="1" si="15">INDEX(CFHC_PIPE_SIZE, 15-COUNTIF(INDEX(CFHC_DATA, ,18-COUNTIF(CFHC_LENGTH,"&gt;="&amp;D156)),"&gt;="&amp;B156), 1)</f>
        <v>1</v>
      </c>
      <c r="F156" s="26">
        <f ca="1">INDEX(CFHC_PIPE_SIZE, 15-COUNTIF(INDEX(CFHC_DATA, ,18-COUNTIF(CFHC_LENGTH,"&gt;="&amp;D156)),"&gt;="&amp;C156), 1)</f>
        <v>1.5</v>
      </c>
      <c r="G156" s="26">
        <f t="shared" ca="1" si="12"/>
        <v>1</v>
      </c>
      <c r="H156" s="26">
        <f t="shared" ca="1" si="13"/>
        <v>1.5</v>
      </c>
      <c r="I156" s="26"/>
    </row>
    <row r="157" spans="1:11" x14ac:dyDescent="0.25">
      <c r="A157" t="s">
        <v>169</v>
      </c>
      <c r="B157" s="72">
        <v>1050</v>
      </c>
      <c r="C157" s="72">
        <f t="shared" si="14"/>
        <v>1350</v>
      </c>
      <c r="D157" s="64">
        <f ca="1">SUMPRODUCT(((OFFSET($A$122,MATCH(A157,$A$122:$A$151,0)-1,0):$A$151=A157)+(OFFSET($A$122,MATCH(A157,$A$122:$A$151,0)-1,0):$A$151="MAIN"))*(OFFSET($E$122,MATCH(A157,$A$122:$A$151,0)-1,0):$E$151))</f>
        <v>156.78</v>
      </c>
      <c r="E157" s="26">
        <f t="shared" ca="1" si="15"/>
        <v>2.5</v>
      </c>
      <c r="F157" s="26">
        <f t="shared" ref="F157:F163" ca="1" si="16">INDEX(CFHC_PIPE_SIZE, 15-COUNTIF(INDEX(CFHC_DATA, ,18-COUNTIF(CFHC_LENGTH,"&gt;="&amp;D157)),"&gt;="&amp;C157), 1)</f>
        <v>2.5</v>
      </c>
      <c r="G157" s="26">
        <f t="shared" ca="1" si="12"/>
        <v>2.5</v>
      </c>
      <c r="H157" s="26">
        <f t="shared" ca="1" si="13"/>
        <v>2.5</v>
      </c>
      <c r="I157" s="26"/>
    </row>
    <row r="158" spans="1:11" s="14" customFormat="1" x14ac:dyDescent="0.25">
      <c r="A158" s="71" t="s">
        <v>168</v>
      </c>
      <c r="B158" s="72">
        <v>100</v>
      </c>
      <c r="C158" s="72">
        <f t="shared" si="14"/>
        <v>1450</v>
      </c>
      <c r="D158" s="64">
        <f ca="1">SUMPRODUCT(((OFFSET($A$122,MATCH(A158,$A$122:$A$151,0)-1,0):$A$151=A158)+(OFFSET($A$122,MATCH(A158,$A$122:$A$151,0)-1,0):$A$151="MAIN"))*(OFFSET($E$122,MATCH(A158,$A$122:$A$151,0)-1,0):$E$151))</f>
        <v>138.69</v>
      </c>
      <c r="E158" s="26">
        <f t="shared" ca="1" si="15"/>
        <v>1</v>
      </c>
      <c r="F158" s="26">
        <f t="shared" ca="1" si="16"/>
        <v>2.5</v>
      </c>
      <c r="G158" s="26">
        <f t="shared" ca="1" si="12"/>
        <v>1</v>
      </c>
      <c r="H158" s="26">
        <f t="shared" ca="1" si="13"/>
        <v>3</v>
      </c>
      <c r="I158" s="26"/>
    </row>
    <row r="159" spans="1:11" x14ac:dyDescent="0.25">
      <c r="A159" t="s">
        <v>167</v>
      </c>
      <c r="B159" s="72">
        <v>100</v>
      </c>
      <c r="C159" s="72">
        <f t="shared" si="14"/>
        <v>1550</v>
      </c>
      <c r="D159" s="64">
        <f ca="1">SUMPRODUCT(((OFFSET($A$122,MATCH(A159,$A$122:$A$151,0)-1,0):$A$151=A159)+(OFFSET($A$122,MATCH(A159,$A$122:$A$151,0)-1,0):$A$151="MAIN"))*(OFFSET($E$122,MATCH(A159,$A$122:$A$151,0)-1,0):$E$151))</f>
        <v>126.39000000000001</v>
      </c>
      <c r="E159" s="26">
        <f t="shared" ca="1" si="15"/>
        <v>1</v>
      </c>
      <c r="F159" s="26">
        <f t="shared" ca="1" si="16"/>
        <v>2.5</v>
      </c>
      <c r="G159" s="26">
        <f t="shared" ca="1" si="12"/>
        <v>1</v>
      </c>
      <c r="H159" s="26">
        <f t="shared" ca="1" si="13"/>
        <v>3</v>
      </c>
      <c r="I159" s="26"/>
    </row>
    <row r="160" spans="1:11" x14ac:dyDescent="0.25">
      <c r="A160" t="s">
        <v>166</v>
      </c>
      <c r="B160" s="72">
        <v>100</v>
      </c>
      <c r="C160" s="72">
        <f t="shared" si="14"/>
        <v>1650</v>
      </c>
      <c r="D160" s="64">
        <f ca="1">SUMPRODUCT(((OFFSET($A$122,MATCH(A160,$A$122:$A$151,0)-1,0):$A$151=A160)+(OFFSET($A$122,MATCH(A160,$A$122:$A$151,0)-1,0):$A$151="MAIN"))*(OFFSET($E$122,MATCH(A160,$A$122:$A$151,0)-1,0):$E$151))</f>
        <v>114.09</v>
      </c>
      <c r="E160" s="26">
        <f t="shared" ca="1" si="15"/>
        <v>1</v>
      </c>
      <c r="F160" s="26">
        <f t="shared" ca="1" si="16"/>
        <v>2.5</v>
      </c>
      <c r="G160" s="26">
        <f t="shared" ca="1" si="12"/>
        <v>1</v>
      </c>
      <c r="H160" s="26">
        <f t="shared" ca="1" si="13"/>
        <v>3</v>
      </c>
      <c r="I160" s="26"/>
    </row>
    <row r="161" spans="1:11" x14ac:dyDescent="0.25">
      <c r="A161" t="s">
        <v>164</v>
      </c>
      <c r="B161" s="72">
        <v>150</v>
      </c>
      <c r="C161" s="72">
        <f t="shared" si="14"/>
        <v>1800</v>
      </c>
      <c r="D161" s="64">
        <f ca="1">SUMPRODUCT(((OFFSET($A$122,MATCH(A161,$A$122:$A$151,0)-1,0):$A$151=A161)+(OFFSET($A$122,MATCH(A161,$A$122:$A$151,0)-1,0):$A$151="MAIN"))*(OFFSET($E$122,MATCH(A161,$A$122:$A$151,0)-1,0):$E$151))</f>
        <v>102.995</v>
      </c>
      <c r="E161" s="26">
        <f t="shared" ca="1" si="15"/>
        <v>1</v>
      </c>
      <c r="F161" s="26">
        <f t="shared" ca="1" si="16"/>
        <v>3</v>
      </c>
      <c r="G161" s="26">
        <f t="shared" ca="1" si="12"/>
        <v>1.25</v>
      </c>
      <c r="H161" s="26">
        <f t="shared" ca="1" si="13"/>
        <v>3</v>
      </c>
      <c r="I161" s="26"/>
    </row>
    <row r="162" spans="1:11" x14ac:dyDescent="0.25">
      <c r="A162" t="s">
        <v>163</v>
      </c>
      <c r="B162" s="72">
        <v>200</v>
      </c>
      <c r="C162" s="72">
        <f t="shared" si="14"/>
        <v>2000</v>
      </c>
      <c r="D162" s="64">
        <f ca="1">SUMPRODUCT(((OFFSET($A$122,MATCH(A162,$A$122:$A$151,0)-1,0):$A$151=A162)+(OFFSET($A$122,MATCH(A162,$A$122:$A$151,0)-1,0):$A$151="MAIN"))*(OFFSET($E$122,MATCH(A162,$A$122:$A$151,0)-1,0):$E$151))</f>
        <v>90.694999999999993</v>
      </c>
      <c r="E162" s="26">
        <f t="shared" ca="1" si="15"/>
        <v>1.25</v>
      </c>
      <c r="F162" s="26">
        <f t="shared" ca="1" si="16"/>
        <v>3</v>
      </c>
      <c r="G162" s="26">
        <f t="shared" ca="1" si="12"/>
        <v>1.25</v>
      </c>
      <c r="H162" s="26">
        <f t="shared" ca="1" si="13"/>
        <v>3</v>
      </c>
      <c r="I162" s="26"/>
    </row>
    <row r="163" spans="1:11" x14ac:dyDescent="0.25">
      <c r="A163" t="s">
        <v>155</v>
      </c>
      <c r="B163" s="72">
        <v>200</v>
      </c>
      <c r="C163" s="72">
        <f t="shared" si="14"/>
        <v>2200</v>
      </c>
      <c r="D163" s="64">
        <f ca="1">SUMPRODUCT(((OFFSET($A$122,MATCH(A163,$A$122:$A$151,0)-1,0):$A$151=A163)+(OFFSET($A$122,MATCH(A163,$A$122:$A$151,0)-1,0):$A$151="MAIN"))*(OFFSET($E$122,MATCH(A163,$A$122:$A$151,0)-1,0):$E$151))</f>
        <v>78.394999999999996</v>
      </c>
      <c r="E163" s="26">
        <f t="shared" ca="1" si="15"/>
        <v>1.25</v>
      </c>
      <c r="F163" s="26">
        <f t="shared" ca="1" si="16"/>
        <v>3</v>
      </c>
      <c r="G163" s="26">
        <f t="shared" ca="1" si="12"/>
        <v>1.25</v>
      </c>
      <c r="H163" s="26">
        <f t="shared" ca="1" si="13"/>
        <v>3</v>
      </c>
      <c r="I163" s="26"/>
    </row>
    <row r="164" spans="1:11" x14ac:dyDescent="0.25">
      <c r="B164" s="68"/>
      <c r="H164" s="25"/>
      <c r="I164" s="25"/>
    </row>
    <row r="165" spans="1:11" x14ac:dyDescent="0.25">
      <c r="H165" s="25"/>
      <c r="I165" s="25"/>
    </row>
    <row r="166" spans="1:11" x14ac:dyDescent="0.25">
      <c r="A166" s="14" t="s">
        <v>172</v>
      </c>
      <c r="H166" s="25"/>
      <c r="I166" s="25"/>
    </row>
    <row r="167" spans="1:11" x14ac:dyDescent="0.25">
      <c r="A167" s="14" t="s">
        <v>154</v>
      </c>
      <c r="B167" s="63" t="s">
        <v>158</v>
      </c>
      <c r="C167" s="63" t="s">
        <v>156</v>
      </c>
      <c r="D167" s="63" t="s">
        <v>157</v>
      </c>
      <c r="E167" s="63" t="s">
        <v>180</v>
      </c>
      <c r="F167" s="63"/>
      <c r="G167" s="63"/>
      <c r="H167" s="63"/>
      <c r="I167" s="63"/>
    </row>
    <row r="168" spans="1:11" x14ac:dyDescent="0.25">
      <c r="A168" t="s">
        <v>171</v>
      </c>
      <c r="B168" s="26">
        <v>1.25</v>
      </c>
      <c r="C168" s="25" t="s">
        <v>160</v>
      </c>
      <c r="D168" s="25">
        <v>1</v>
      </c>
      <c r="E168" s="25">
        <f t="shared" ref="E168:E172" si="17">VLOOKUP(B168, EQLC_CHART, MATCH(C168, EQLC_COLUMNS, 0), FALSE)*D168</f>
        <v>3.45</v>
      </c>
      <c r="G168" s="64"/>
      <c r="H168" s="25"/>
      <c r="I168" s="25"/>
    </row>
    <row r="169" spans="1:11" x14ac:dyDescent="0.25">
      <c r="A169" t="s">
        <v>171</v>
      </c>
      <c r="B169" s="26">
        <v>1.25</v>
      </c>
      <c r="C169" s="25" t="s">
        <v>162</v>
      </c>
      <c r="D169" s="25">
        <v>1</v>
      </c>
      <c r="E169" s="25">
        <f t="shared" si="17"/>
        <v>1.875</v>
      </c>
      <c r="G169" s="64"/>
      <c r="H169" s="25"/>
      <c r="I169" s="25"/>
      <c r="J169" s="26"/>
    </row>
    <row r="170" spans="1:11" x14ac:dyDescent="0.25">
      <c r="A170" s="21" t="s">
        <v>161</v>
      </c>
      <c r="B170" s="26">
        <v>3</v>
      </c>
      <c r="C170" s="25" t="s">
        <v>160</v>
      </c>
      <c r="D170" s="25">
        <v>1</v>
      </c>
      <c r="E170" s="25">
        <f t="shared" si="17"/>
        <v>7.67</v>
      </c>
      <c r="G170" s="64"/>
      <c r="H170" s="25"/>
      <c r="I170" s="25"/>
    </row>
    <row r="171" spans="1:11" x14ac:dyDescent="0.25">
      <c r="A171" s="21" t="s">
        <v>161</v>
      </c>
      <c r="B171" s="26">
        <v>3</v>
      </c>
      <c r="C171" s="25" t="s">
        <v>149</v>
      </c>
      <c r="D171" s="25">
        <v>1</v>
      </c>
      <c r="E171" s="25">
        <f t="shared" si="17"/>
        <v>15.3</v>
      </c>
      <c r="H171" s="25"/>
      <c r="I171" s="25"/>
    </row>
    <row r="172" spans="1:11" x14ac:dyDescent="0.25">
      <c r="A172" t="s">
        <v>161</v>
      </c>
      <c r="B172" s="26">
        <v>4</v>
      </c>
      <c r="C172" s="25" t="s">
        <v>149</v>
      </c>
      <c r="D172" s="25">
        <v>1</v>
      </c>
      <c r="E172" s="25">
        <f t="shared" si="17"/>
        <v>20.2</v>
      </c>
      <c r="H172" s="25"/>
      <c r="I172" s="25"/>
      <c r="K172" s="26"/>
    </row>
    <row r="173" spans="1:11" x14ac:dyDescent="0.25">
      <c r="B173" s="26"/>
      <c r="C173" s="25"/>
      <c r="E173" s="25"/>
      <c r="G173" s="64"/>
      <c r="H173" s="25"/>
      <c r="I173" s="25"/>
      <c r="J173" s="26"/>
      <c r="K173" s="26"/>
    </row>
    <row r="174" spans="1:11" x14ac:dyDescent="0.25">
      <c r="A174" s="14" t="s">
        <v>186</v>
      </c>
      <c r="B174" s="63" t="s">
        <v>181</v>
      </c>
      <c r="C174" s="63" t="s">
        <v>200</v>
      </c>
      <c r="D174" s="63" t="s">
        <v>201</v>
      </c>
      <c r="E174" s="63" t="s">
        <v>197</v>
      </c>
      <c r="F174" s="63" t="s">
        <v>199</v>
      </c>
      <c r="G174" s="63" t="s">
        <v>285</v>
      </c>
      <c r="H174" s="63" t="s">
        <v>286</v>
      </c>
      <c r="I174" s="63"/>
      <c r="J174" s="26"/>
      <c r="K174" s="26"/>
    </row>
    <row r="175" spans="1:11" x14ac:dyDescent="0.25">
      <c r="A175" t="s">
        <v>171</v>
      </c>
      <c r="B175" s="72">
        <v>164</v>
      </c>
      <c r="C175" s="72">
        <f>B175</f>
        <v>164</v>
      </c>
      <c r="D175" s="64">
        <f>SUMIF($A$168:$A$172,A175,$E$168:$E$172)+SUMIF($A$168:$A$172,"MAIN",$E$168:$E$172)</f>
        <v>48.495000000000005</v>
      </c>
      <c r="E175" s="26">
        <f>INDEX(CFHC_PIPE_SIZE, 15-COUNTIF(INDEX(CFHC_DATA, ,18-COUNTIF(CFHC_LENGTH,"&gt;="&amp;D175)),"&gt;="&amp;B175), 1)</f>
        <v>1</v>
      </c>
      <c r="F175" s="26">
        <f>INDEX(CFHC_PIPE_SIZE, 15-COUNTIF(INDEX(CFHC_DATA, ,18-COUNTIF(CFHC_LENGTH,"&gt;="&amp;D175)),"&gt;="&amp;C175), 1)</f>
        <v>1</v>
      </c>
      <c r="G175" s="26">
        <f ca="1">INDEX(CFHC_PIPE_SIZE, 15-COUNTIF(INDEX(CFHC_DATA, ,18-COUNTIF(CFHC_LENGTH,"&gt;="&amp;MAX($D:$D))),"&gt;="&amp;B175), 1)</f>
        <v>1.25</v>
      </c>
      <c r="H175" s="26">
        <f ca="1">INDEX(CFHC_PIPE_SIZE, 15-COUNTIF(INDEX(CFHC_DATA, ,18-COUNTIF(CFHC_LENGTH,"&gt;="&amp;MAX($D:$D))),"&gt;="&amp;C175), 1)</f>
        <v>1.25</v>
      </c>
      <c r="I175" s="26"/>
      <c r="J175" s="26"/>
      <c r="K175" s="26"/>
    </row>
    <row r="176" spans="1:11" x14ac:dyDescent="0.25">
      <c r="A176" t="s">
        <v>194</v>
      </c>
      <c r="B176" s="68">
        <f>C163</f>
        <v>2200</v>
      </c>
      <c r="C176" s="72">
        <f>C175+B176</f>
        <v>2364</v>
      </c>
      <c r="D176" s="64">
        <f>SUMIF($A$168:$A$172,A176,$E$168:$E$172)+SUMIF($A$168:$A$172,"MAIN",$E$168:$E$172)</f>
        <v>43.17</v>
      </c>
      <c r="E176" s="26">
        <f>INDEX(CFHC_PIPE_SIZE, 15-COUNTIF(INDEX(CFHC_DATA, ,18-COUNTIF(CFHC_LENGTH,"&gt;="&amp;D176)),"&gt;="&amp;B176), 1)</f>
        <v>2.5</v>
      </c>
      <c r="F176" s="26">
        <f>INDEX(CFHC_PIPE_SIZE, 15-COUNTIF(INDEX(CFHC_DATA, ,18-COUNTIF(CFHC_LENGTH,"&gt;="&amp;D176)),"&gt;="&amp;C176), 1)</f>
        <v>2.5</v>
      </c>
      <c r="G176" s="26">
        <f ca="1">INDEX(CFHC_PIPE_SIZE, 15-COUNTIF(INDEX(CFHC_DATA, ,18-COUNTIF(CFHC_LENGTH,"&gt;="&amp;MAX($D:$D))),"&gt;="&amp;B176), 1)</f>
        <v>3</v>
      </c>
      <c r="H176" s="26">
        <f ca="1">INDEX(CFHC_PIPE_SIZE, 15-COUNTIF(INDEX(CFHC_DATA, ,18-COUNTIF(CFHC_LENGTH,"&gt;="&amp;MAX($D:$D))),"&gt;="&amp;C176), 1)</f>
        <v>3</v>
      </c>
      <c r="I176" s="26"/>
      <c r="J176" s="26"/>
      <c r="K176" s="26"/>
    </row>
    <row r="177" spans="1:13" x14ac:dyDescent="0.25">
      <c r="B177" s="26"/>
      <c r="H177" s="25"/>
      <c r="I177" s="25"/>
      <c r="J177" s="26"/>
      <c r="K177" s="26"/>
    </row>
    <row r="178" spans="1:13" x14ac:dyDescent="0.25">
      <c r="H178" s="25"/>
      <c r="I178" s="25"/>
    </row>
    <row r="179" spans="1:13" x14ac:dyDescent="0.25">
      <c r="A179" s="14" t="s">
        <v>173</v>
      </c>
      <c r="H179" s="25"/>
      <c r="I179" s="25"/>
    </row>
    <row r="180" spans="1:13" x14ac:dyDescent="0.25">
      <c r="A180" s="14" t="s">
        <v>154</v>
      </c>
      <c r="B180" s="63" t="s">
        <v>158</v>
      </c>
      <c r="C180" s="63" t="s">
        <v>156</v>
      </c>
      <c r="D180" s="63" t="s">
        <v>157</v>
      </c>
      <c r="E180" s="63" t="s">
        <v>180</v>
      </c>
      <c r="F180" s="63"/>
      <c r="G180" s="63"/>
    </row>
    <row r="181" spans="1:13" x14ac:dyDescent="0.25">
      <c r="A181" s="21" t="s">
        <v>187</v>
      </c>
      <c r="B181" s="26">
        <v>1.25</v>
      </c>
      <c r="C181" s="25" t="s">
        <v>162</v>
      </c>
      <c r="D181" s="25">
        <v>1</v>
      </c>
      <c r="E181" s="25">
        <f t="shared" ref="E181:E221" si="18">VLOOKUP(B181, EQLC_CHART, MATCH(C181, EQLC_COLUMNS, 0), FALSE)*D181</f>
        <v>1.875</v>
      </c>
      <c r="G181" s="25"/>
      <c r="K181" s="26"/>
      <c r="L181" s="64"/>
      <c r="M181" s="69"/>
    </row>
    <row r="182" spans="1:13" x14ac:dyDescent="0.25">
      <c r="A182" s="21" t="s">
        <v>187</v>
      </c>
      <c r="B182" s="26">
        <v>1.25</v>
      </c>
      <c r="C182" s="25" t="s">
        <v>160</v>
      </c>
      <c r="D182" s="25">
        <v>2</v>
      </c>
      <c r="E182" s="25">
        <f t="shared" si="18"/>
        <v>6.9</v>
      </c>
      <c r="G182" s="25"/>
      <c r="L182" s="64"/>
    </row>
    <row r="183" spans="1:13" x14ac:dyDescent="0.25">
      <c r="A183" s="21" t="s">
        <v>188</v>
      </c>
      <c r="B183" s="26">
        <v>1.25</v>
      </c>
      <c r="C183" s="25" t="s">
        <v>162</v>
      </c>
      <c r="D183" s="25">
        <v>1</v>
      </c>
      <c r="E183" s="25">
        <f t="shared" si="18"/>
        <v>1.875</v>
      </c>
      <c r="G183" s="25"/>
      <c r="K183" s="26"/>
      <c r="L183" s="64"/>
      <c r="M183" s="69"/>
    </row>
    <row r="184" spans="1:13" x14ac:dyDescent="0.25">
      <c r="A184" s="21" t="s">
        <v>188</v>
      </c>
      <c r="B184" s="26">
        <v>1.25</v>
      </c>
      <c r="C184" s="25" t="s">
        <v>160</v>
      </c>
      <c r="D184" s="25">
        <v>1</v>
      </c>
      <c r="E184" s="25">
        <f t="shared" si="18"/>
        <v>3.45</v>
      </c>
      <c r="G184" s="25"/>
      <c r="L184" s="64"/>
    </row>
    <row r="185" spans="1:13" x14ac:dyDescent="0.25">
      <c r="A185" s="21" t="s">
        <v>161</v>
      </c>
      <c r="B185" s="26">
        <v>2.5</v>
      </c>
      <c r="C185" s="25" t="s">
        <v>149</v>
      </c>
      <c r="D185" s="25">
        <v>1</v>
      </c>
      <c r="E185" s="25">
        <f t="shared" si="18"/>
        <v>12.3</v>
      </c>
      <c r="G185" s="25"/>
    </row>
    <row r="186" spans="1:13" x14ac:dyDescent="0.25">
      <c r="A186" s="21" t="s">
        <v>189</v>
      </c>
      <c r="B186" s="26">
        <v>1.25</v>
      </c>
      <c r="C186" s="25" t="s">
        <v>162</v>
      </c>
      <c r="D186" s="25">
        <v>1</v>
      </c>
      <c r="E186" s="25">
        <f t="shared" si="18"/>
        <v>1.875</v>
      </c>
      <c r="G186" s="25"/>
      <c r="K186" s="26"/>
      <c r="L186" s="64"/>
      <c r="M186" s="69"/>
    </row>
    <row r="187" spans="1:13" x14ac:dyDescent="0.25">
      <c r="A187" s="21" t="s">
        <v>189</v>
      </c>
      <c r="B187" s="26">
        <v>1.25</v>
      </c>
      <c r="C187" s="25" t="s">
        <v>160</v>
      </c>
      <c r="D187" s="25">
        <v>1</v>
      </c>
      <c r="E187" s="25">
        <f t="shared" si="18"/>
        <v>3.45</v>
      </c>
      <c r="G187" s="25"/>
      <c r="L187" s="64"/>
    </row>
    <row r="188" spans="1:13" x14ac:dyDescent="0.25">
      <c r="A188" s="21" t="s">
        <v>161</v>
      </c>
      <c r="B188" s="26">
        <v>2.5</v>
      </c>
      <c r="C188" s="25" t="s">
        <v>149</v>
      </c>
      <c r="D188" s="25">
        <v>1</v>
      </c>
      <c r="E188" s="25">
        <f t="shared" si="18"/>
        <v>12.3</v>
      </c>
      <c r="G188" s="25"/>
    </row>
    <row r="189" spans="1:13" x14ac:dyDescent="0.25">
      <c r="A189" s="21" t="s">
        <v>190</v>
      </c>
      <c r="B189" s="26">
        <v>1.25</v>
      </c>
      <c r="C189" s="25" t="s">
        <v>162</v>
      </c>
      <c r="D189" s="25">
        <v>1</v>
      </c>
      <c r="E189" s="25">
        <f t="shared" si="18"/>
        <v>1.875</v>
      </c>
      <c r="G189" s="25"/>
      <c r="K189" s="26"/>
      <c r="L189" s="64"/>
      <c r="M189" s="69"/>
    </row>
    <row r="190" spans="1:13" x14ac:dyDescent="0.25">
      <c r="A190" s="21" t="s">
        <v>190</v>
      </c>
      <c r="B190" s="26">
        <v>1.25</v>
      </c>
      <c r="C190" s="25" t="s">
        <v>160</v>
      </c>
      <c r="D190" s="25">
        <v>1</v>
      </c>
      <c r="E190" s="25">
        <f t="shared" si="18"/>
        <v>3.45</v>
      </c>
      <c r="G190" s="25"/>
    </row>
    <row r="191" spans="1:13" x14ac:dyDescent="0.25">
      <c r="A191" s="21" t="s">
        <v>161</v>
      </c>
      <c r="B191" s="26">
        <v>2.5</v>
      </c>
      <c r="C191" s="25" t="s">
        <v>149</v>
      </c>
      <c r="D191" s="25">
        <v>1</v>
      </c>
      <c r="E191" s="25">
        <f t="shared" si="18"/>
        <v>12.3</v>
      </c>
      <c r="G191" s="25"/>
    </row>
    <row r="192" spans="1:13" x14ac:dyDescent="0.25">
      <c r="A192" s="21" t="s">
        <v>191</v>
      </c>
      <c r="B192" s="26">
        <v>1.25</v>
      </c>
      <c r="C192" s="25" t="s">
        <v>162</v>
      </c>
      <c r="D192" s="25">
        <v>1</v>
      </c>
      <c r="E192" s="25">
        <f t="shared" si="18"/>
        <v>1.875</v>
      </c>
      <c r="G192" s="25"/>
      <c r="K192" s="26"/>
      <c r="L192" s="64"/>
      <c r="M192" s="69"/>
    </row>
    <row r="193" spans="1:13" x14ac:dyDescent="0.25">
      <c r="A193" s="21" t="s">
        <v>191</v>
      </c>
      <c r="B193" s="26">
        <v>1.25</v>
      </c>
      <c r="C193" s="25" t="s">
        <v>160</v>
      </c>
      <c r="D193" s="25">
        <v>1</v>
      </c>
      <c r="E193" s="25">
        <f t="shared" si="18"/>
        <v>3.45</v>
      </c>
      <c r="G193" s="25"/>
    </row>
    <row r="194" spans="1:13" x14ac:dyDescent="0.25">
      <c r="A194" s="21" t="s">
        <v>161</v>
      </c>
      <c r="B194" s="26">
        <v>2.5</v>
      </c>
      <c r="C194" s="25" t="s">
        <v>149</v>
      </c>
      <c r="D194" s="25">
        <v>1</v>
      </c>
      <c r="E194" s="25">
        <f t="shared" si="18"/>
        <v>12.3</v>
      </c>
      <c r="G194" s="25"/>
    </row>
    <row r="195" spans="1:13" x14ac:dyDescent="0.25">
      <c r="A195" s="21" t="s">
        <v>179</v>
      </c>
      <c r="B195" s="26">
        <v>1.25</v>
      </c>
      <c r="C195" s="25" t="s">
        <v>162</v>
      </c>
      <c r="D195" s="25">
        <v>1</v>
      </c>
      <c r="E195" s="25">
        <f t="shared" si="18"/>
        <v>1.875</v>
      </c>
      <c r="G195" s="25"/>
      <c r="K195" s="26"/>
      <c r="L195" s="64"/>
      <c r="M195" s="69"/>
    </row>
    <row r="196" spans="1:13" x14ac:dyDescent="0.25">
      <c r="A196" s="21" t="s">
        <v>179</v>
      </c>
      <c r="B196" s="26">
        <v>1.25</v>
      </c>
      <c r="C196" s="25" t="s">
        <v>160</v>
      </c>
      <c r="D196" s="25">
        <v>1</v>
      </c>
      <c r="E196" s="25">
        <f t="shared" si="18"/>
        <v>3.45</v>
      </c>
      <c r="G196" s="25"/>
      <c r="L196" s="64"/>
    </row>
    <row r="197" spans="1:13" x14ac:dyDescent="0.25">
      <c r="A197" s="21" t="s">
        <v>161</v>
      </c>
      <c r="B197" s="26">
        <v>2.5</v>
      </c>
      <c r="C197" s="25" t="s">
        <v>149</v>
      </c>
      <c r="D197" s="25">
        <v>1</v>
      </c>
      <c r="E197" s="25">
        <f t="shared" si="18"/>
        <v>12.3</v>
      </c>
      <c r="G197" s="25"/>
    </row>
    <row r="198" spans="1:13" x14ac:dyDescent="0.25">
      <c r="A198" s="21" t="s">
        <v>178</v>
      </c>
      <c r="B198" s="26">
        <v>1.5</v>
      </c>
      <c r="C198" s="25" t="s">
        <v>162</v>
      </c>
      <c r="D198" s="25">
        <v>1</v>
      </c>
      <c r="E198" s="25">
        <f t="shared" si="18"/>
        <v>2.25</v>
      </c>
      <c r="G198" s="25"/>
      <c r="K198" s="26"/>
      <c r="L198" s="64"/>
      <c r="M198" s="69"/>
    </row>
    <row r="199" spans="1:13" x14ac:dyDescent="0.25">
      <c r="A199" s="21" t="s">
        <v>178</v>
      </c>
      <c r="B199" s="26">
        <v>1.5</v>
      </c>
      <c r="C199" s="25" t="s">
        <v>160</v>
      </c>
      <c r="D199" s="25">
        <v>1</v>
      </c>
      <c r="E199" s="25">
        <f t="shared" si="18"/>
        <v>4.0199999999999996</v>
      </c>
      <c r="G199" s="25"/>
      <c r="L199" s="64"/>
    </row>
    <row r="200" spans="1:13" x14ac:dyDescent="0.25">
      <c r="A200" s="21" t="s">
        <v>161</v>
      </c>
      <c r="B200" s="26">
        <v>2.5</v>
      </c>
      <c r="C200" s="25" t="s">
        <v>149</v>
      </c>
      <c r="D200" s="25">
        <v>1</v>
      </c>
      <c r="E200" s="25">
        <f t="shared" si="18"/>
        <v>12.3</v>
      </c>
      <c r="G200" s="25"/>
    </row>
    <row r="201" spans="1:13" x14ac:dyDescent="0.25">
      <c r="A201" s="21" t="s">
        <v>177</v>
      </c>
      <c r="B201" s="26">
        <v>1.25</v>
      </c>
      <c r="C201" s="25" t="s">
        <v>162</v>
      </c>
      <c r="D201" s="25">
        <v>1</v>
      </c>
      <c r="E201" s="25">
        <f t="shared" si="18"/>
        <v>1.875</v>
      </c>
      <c r="G201" s="25"/>
      <c r="K201" s="26"/>
      <c r="L201" s="64"/>
      <c r="M201" s="69"/>
    </row>
    <row r="202" spans="1:13" x14ac:dyDescent="0.25">
      <c r="A202" s="21" t="s">
        <v>177</v>
      </c>
      <c r="B202" s="26">
        <v>1.25</v>
      </c>
      <c r="C202" s="25" t="s">
        <v>160</v>
      </c>
      <c r="D202" s="25">
        <v>1</v>
      </c>
      <c r="E202" s="25">
        <f t="shared" si="18"/>
        <v>3.45</v>
      </c>
      <c r="G202" s="25"/>
    </row>
    <row r="203" spans="1:13" x14ac:dyDescent="0.25">
      <c r="A203" s="21" t="s">
        <v>161</v>
      </c>
      <c r="B203" s="26">
        <v>2.5</v>
      </c>
      <c r="C203" s="25" t="s">
        <v>149</v>
      </c>
      <c r="D203" s="25">
        <v>1</v>
      </c>
      <c r="E203" s="25">
        <f t="shared" si="18"/>
        <v>12.3</v>
      </c>
      <c r="G203" s="25"/>
    </row>
    <row r="204" spans="1:13" x14ac:dyDescent="0.25">
      <c r="A204" s="21" t="s">
        <v>176</v>
      </c>
      <c r="B204" s="26">
        <v>1.25</v>
      </c>
      <c r="C204" s="25" t="s">
        <v>162</v>
      </c>
      <c r="D204" s="25">
        <v>1</v>
      </c>
      <c r="E204" s="25">
        <f t="shared" si="18"/>
        <v>1.875</v>
      </c>
      <c r="G204" s="25"/>
      <c r="K204" s="26"/>
      <c r="L204" s="64"/>
      <c r="M204" s="69"/>
    </row>
    <row r="205" spans="1:13" x14ac:dyDescent="0.25">
      <c r="A205" s="21" t="s">
        <v>176</v>
      </c>
      <c r="B205" s="26">
        <v>1.25</v>
      </c>
      <c r="C205" s="25" t="s">
        <v>160</v>
      </c>
      <c r="D205" s="25">
        <v>1</v>
      </c>
      <c r="E205" s="25">
        <f t="shared" si="18"/>
        <v>3.45</v>
      </c>
      <c r="G205" s="25"/>
    </row>
    <row r="206" spans="1:13" x14ac:dyDescent="0.25">
      <c r="A206" s="21" t="s">
        <v>161</v>
      </c>
      <c r="B206" s="26">
        <v>2.5</v>
      </c>
      <c r="C206" s="25" t="s">
        <v>149</v>
      </c>
      <c r="D206" s="25">
        <v>1</v>
      </c>
      <c r="E206" s="25">
        <f t="shared" si="18"/>
        <v>12.3</v>
      </c>
      <c r="G206" s="25"/>
    </row>
    <row r="207" spans="1:13" x14ac:dyDescent="0.25">
      <c r="A207" s="21" t="s">
        <v>175</v>
      </c>
      <c r="B207" s="26">
        <v>1.5</v>
      </c>
      <c r="C207" s="25" t="s">
        <v>162</v>
      </c>
      <c r="D207" s="25">
        <v>1</v>
      </c>
      <c r="E207" s="25">
        <f t="shared" si="18"/>
        <v>2.25</v>
      </c>
      <c r="G207" s="25"/>
      <c r="K207" s="26"/>
      <c r="L207" s="64"/>
      <c r="M207" s="69"/>
    </row>
    <row r="208" spans="1:13" x14ac:dyDescent="0.25">
      <c r="A208" s="21" t="s">
        <v>175</v>
      </c>
      <c r="B208" s="26">
        <v>1.5</v>
      </c>
      <c r="C208" s="25" t="s">
        <v>160</v>
      </c>
      <c r="D208" s="25">
        <v>1</v>
      </c>
      <c r="E208" s="25">
        <f t="shared" si="18"/>
        <v>4.0199999999999996</v>
      </c>
      <c r="G208" s="25"/>
      <c r="L208" s="64"/>
    </row>
    <row r="209" spans="1:13" x14ac:dyDescent="0.25">
      <c r="A209" s="21" t="s">
        <v>161</v>
      </c>
      <c r="B209" s="26">
        <v>3</v>
      </c>
      <c r="C209" s="25" t="s">
        <v>149</v>
      </c>
      <c r="D209" s="25">
        <v>1</v>
      </c>
      <c r="E209" s="25">
        <f t="shared" si="18"/>
        <v>15.3</v>
      </c>
      <c r="G209" s="25"/>
    </row>
    <row r="210" spans="1:13" x14ac:dyDescent="0.25">
      <c r="A210" s="21" t="s">
        <v>174</v>
      </c>
      <c r="B210" s="26">
        <v>1.25</v>
      </c>
      <c r="C210" s="25" t="s">
        <v>162</v>
      </c>
      <c r="D210" s="25">
        <v>1</v>
      </c>
      <c r="E210" s="25">
        <f t="shared" si="18"/>
        <v>1.875</v>
      </c>
      <c r="G210" s="25"/>
      <c r="K210" s="26"/>
      <c r="L210" s="64"/>
      <c r="M210" s="69"/>
    </row>
    <row r="211" spans="1:13" x14ac:dyDescent="0.25">
      <c r="A211" s="21" t="s">
        <v>174</v>
      </c>
      <c r="B211" s="26">
        <v>1.25</v>
      </c>
      <c r="C211" s="25" t="s">
        <v>160</v>
      </c>
      <c r="D211" s="25">
        <v>1</v>
      </c>
      <c r="E211" s="25">
        <f t="shared" si="18"/>
        <v>3.45</v>
      </c>
      <c r="G211" s="25"/>
      <c r="L211" s="64"/>
    </row>
    <row r="212" spans="1:13" x14ac:dyDescent="0.25">
      <c r="A212" s="21" t="s">
        <v>161</v>
      </c>
      <c r="B212" s="26">
        <v>3</v>
      </c>
      <c r="C212" s="25" t="s">
        <v>149</v>
      </c>
      <c r="D212" s="25">
        <v>1</v>
      </c>
      <c r="E212" s="25">
        <f t="shared" si="18"/>
        <v>15.3</v>
      </c>
      <c r="G212" s="25"/>
    </row>
    <row r="213" spans="1:13" x14ac:dyDescent="0.25">
      <c r="A213" s="21" t="s">
        <v>192</v>
      </c>
      <c r="B213" s="26">
        <v>2.5</v>
      </c>
      <c r="C213" s="25" t="s">
        <v>162</v>
      </c>
      <c r="D213" s="25">
        <v>1</v>
      </c>
      <c r="E213" s="25">
        <f t="shared" si="18"/>
        <v>3.75</v>
      </c>
      <c r="G213" s="25"/>
      <c r="K213" s="26"/>
      <c r="L213" s="64"/>
      <c r="M213" s="69"/>
    </row>
    <row r="214" spans="1:13" x14ac:dyDescent="0.25">
      <c r="A214" s="21" t="s">
        <v>192</v>
      </c>
      <c r="B214" s="26">
        <v>2.5</v>
      </c>
      <c r="C214" s="25" t="s">
        <v>160</v>
      </c>
      <c r="D214" s="25">
        <v>1</v>
      </c>
      <c r="E214" s="25">
        <f t="shared" si="18"/>
        <v>6.16</v>
      </c>
      <c r="G214" s="25"/>
      <c r="L214" s="64"/>
    </row>
    <row r="215" spans="1:13" x14ac:dyDescent="0.25">
      <c r="A215" s="21" t="s">
        <v>161</v>
      </c>
      <c r="B215" s="26">
        <v>3</v>
      </c>
      <c r="C215" s="25" t="s">
        <v>149</v>
      </c>
      <c r="D215" s="25">
        <v>1</v>
      </c>
      <c r="E215" s="25">
        <f t="shared" si="18"/>
        <v>15.3</v>
      </c>
      <c r="G215" s="25"/>
    </row>
    <row r="216" spans="1:13" x14ac:dyDescent="0.25">
      <c r="A216" s="21" t="s">
        <v>193</v>
      </c>
      <c r="B216" s="26">
        <v>2.5</v>
      </c>
      <c r="C216" s="25" t="s">
        <v>162</v>
      </c>
      <c r="D216" s="25">
        <v>1</v>
      </c>
      <c r="E216" s="25">
        <f t="shared" si="18"/>
        <v>3.75</v>
      </c>
      <c r="G216" s="25"/>
      <c r="K216" s="26"/>
      <c r="L216" s="64"/>
      <c r="M216" s="69"/>
    </row>
    <row r="217" spans="1:13" x14ac:dyDescent="0.25">
      <c r="A217" s="21" t="s">
        <v>193</v>
      </c>
      <c r="B217" s="26">
        <v>2.5</v>
      </c>
      <c r="C217" s="25" t="s">
        <v>160</v>
      </c>
      <c r="D217" s="25">
        <v>1</v>
      </c>
      <c r="E217" s="25">
        <f t="shared" si="18"/>
        <v>6.16</v>
      </c>
      <c r="G217" s="64"/>
      <c r="J217" s="25"/>
    </row>
    <row r="218" spans="1:13" x14ac:dyDescent="0.25">
      <c r="A218" s="21" t="s">
        <v>161</v>
      </c>
      <c r="B218" s="26">
        <v>3</v>
      </c>
      <c r="C218" s="25" t="s">
        <v>149</v>
      </c>
      <c r="D218" s="25">
        <v>1</v>
      </c>
      <c r="E218" s="25">
        <f t="shared" si="18"/>
        <v>15.3</v>
      </c>
      <c r="J218" s="25"/>
    </row>
    <row r="219" spans="1:13" x14ac:dyDescent="0.25">
      <c r="A219" t="s">
        <v>161</v>
      </c>
      <c r="B219" s="26">
        <v>3</v>
      </c>
      <c r="C219" s="25" t="s">
        <v>162</v>
      </c>
      <c r="D219" s="25">
        <v>1</v>
      </c>
      <c r="E219" s="25">
        <f t="shared" si="18"/>
        <v>4.5</v>
      </c>
      <c r="J219" s="25"/>
    </row>
    <row r="220" spans="1:13" x14ac:dyDescent="0.25">
      <c r="A220" s="21" t="s">
        <v>161</v>
      </c>
      <c r="B220" s="26">
        <v>3</v>
      </c>
      <c r="C220" s="25" t="s">
        <v>149</v>
      </c>
      <c r="D220" s="25">
        <v>1</v>
      </c>
      <c r="E220" s="25">
        <f t="shared" si="18"/>
        <v>15.3</v>
      </c>
      <c r="J220" s="25"/>
    </row>
    <row r="221" spans="1:13" x14ac:dyDescent="0.25">
      <c r="A221" s="21" t="s">
        <v>161</v>
      </c>
      <c r="B221" s="26">
        <v>3</v>
      </c>
      <c r="C221" s="25" t="s">
        <v>160</v>
      </c>
      <c r="D221" s="25">
        <v>1</v>
      </c>
      <c r="E221" s="25">
        <f t="shared" si="18"/>
        <v>7.67</v>
      </c>
      <c r="J221" s="25"/>
    </row>
    <row r="222" spans="1:13" x14ac:dyDescent="0.25">
      <c r="A222" s="21"/>
      <c r="B222" s="26"/>
      <c r="C222" s="25"/>
      <c r="E222" s="25"/>
      <c r="J222" s="25"/>
    </row>
    <row r="223" spans="1:13" x14ac:dyDescent="0.25">
      <c r="A223" s="14" t="s">
        <v>173</v>
      </c>
      <c r="L223" s="68"/>
    </row>
    <row r="224" spans="1:13" x14ac:dyDescent="0.25">
      <c r="A224" s="14" t="s">
        <v>186</v>
      </c>
      <c r="B224" s="63" t="s">
        <v>181</v>
      </c>
      <c r="C224" s="63" t="s">
        <v>200</v>
      </c>
      <c r="D224" s="63" t="s">
        <v>201</v>
      </c>
      <c r="E224" s="63" t="s">
        <v>197</v>
      </c>
      <c r="F224" s="63" t="s">
        <v>199</v>
      </c>
      <c r="G224" s="63" t="s">
        <v>285</v>
      </c>
      <c r="H224" s="63" t="s">
        <v>286</v>
      </c>
      <c r="I224" s="63"/>
    </row>
    <row r="225" spans="1:9" x14ac:dyDescent="0.25">
      <c r="A225" t="s">
        <v>187</v>
      </c>
      <c r="B225" s="25">
        <v>120</v>
      </c>
      <c r="C225" s="72">
        <f>B225</f>
        <v>120</v>
      </c>
      <c r="D225" s="64">
        <f t="shared" ref="D225:D238" si="19">SUMIF($A$181:$A$221,A225,$E$181:$E$221)+SUMIF($A$181:$A$221,"MAIN",$E$181:$E$221)</f>
        <v>195.84500000000003</v>
      </c>
      <c r="E225" s="26">
        <f t="shared" ref="E225:E238" si="20">INDEX(CFHC_PIPE_SIZE, 15-COUNTIF(INDEX(CFHC_DATA, ,18-COUNTIF(CFHC_LENGTH,"&gt;="&amp;D225)),"&gt;="&amp;B225), 1)</f>
        <v>1</v>
      </c>
      <c r="F225" s="26">
        <f t="shared" ref="F225:F238" si="21">INDEX(CFHC_PIPE_SIZE, 15-COUNTIF(INDEX(CFHC_DATA, ,18-COUNTIF(CFHC_LENGTH,"&gt;="&amp;D225)),"&gt;="&amp;C225), 1)</f>
        <v>1</v>
      </c>
      <c r="G225" s="26">
        <f t="shared" ref="G225:G238" ca="1" si="22">INDEX(CFHC_PIPE_SIZE, 15-COUNTIF(INDEX(CFHC_DATA, ,18-COUNTIF(CFHC_LENGTH,"&gt;="&amp;MAX($D:$D))),"&gt;="&amp;B225), 1)</f>
        <v>1</v>
      </c>
      <c r="H225" s="26">
        <f t="shared" ref="H225:H238" ca="1" si="23">INDEX(CFHC_PIPE_SIZE, 15-COUNTIF(INDEX(CFHC_DATA, ,18-COUNTIF(CFHC_LENGTH,"&gt;="&amp;MAX($D:$D))),"&gt;="&amp;C225), 1)</f>
        <v>1</v>
      </c>
      <c r="I225" s="26"/>
    </row>
    <row r="226" spans="1:9" x14ac:dyDescent="0.25">
      <c r="A226" t="s">
        <v>188</v>
      </c>
      <c r="B226" s="25">
        <v>120</v>
      </c>
      <c r="C226" s="72">
        <f>C225+B226</f>
        <v>240</v>
      </c>
      <c r="D226" s="64">
        <f t="shared" si="19"/>
        <v>192.39500000000001</v>
      </c>
      <c r="E226" s="26">
        <f t="shared" si="20"/>
        <v>1</v>
      </c>
      <c r="F226" s="26">
        <f t="shared" si="21"/>
        <v>1.25</v>
      </c>
      <c r="G226" s="26">
        <f t="shared" ca="1" si="22"/>
        <v>1</v>
      </c>
      <c r="H226" s="26">
        <f t="shared" ca="1" si="23"/>
        <v>1.25</v>
      </c>
      <c r="I226" s="26"/>
    </row>
    <row r="227" spans="1:9" x14ac:dyDescent="0.25">
      <c r="A227" t="s">
        <v>189</v>
      </c>
      <c r="B227" s="25">
        <v>120</v>
      </c>
      <c r="C227" s="72">
        <f t="shared" ref="C227:C237" si="24">C226+B227</f>
        <v>360</v>
      </c>
      <c r="D227" s="64">
        <f t="shared" si="19"/>
        <v>192.39500000000001</v>
      </c>
      <c r="E227" s="26">
        <f t="shared" si="20"/>
        <v>1</v>
      </c>
      <c r="F227" s="26">
        <f t="shared" si="21"/>
        <v>1.5</v>
      </c>
      <c r="G227" s="26">
        <f t="shared" ca="1" si="22"/>
        <v>1</v>
      </c>
      <c r="H227" s="26">
        <f t="shared" ca="1" si="23"/>
        <v>1.5</v>
      </c>
      <c r="I227" s="26"/>
    </row>
    <row r="228" spans="1:9" x14ac:dyDescent="0.25">
      <c r="A228" s="21" t="s">
        <v>190</v>
      </c>
      <c r="B228" s="25">
        <v>150</v>
      </c>
      <c r="C228" s="72">
        <f t="shared" si="24"/>
        <v>510</v>
      </c>
      <c r="D228" s="64">
        <f t="shared" si="19"/>
        <v>192.39500000000001</v>
      </c>
      <c r="E228" s="26">
        <f t="shared" si="20"/>
        <v>1.25</v>
      </c>
      <c r="F228" s="26">
        <f t="shared" si="21"/>
        <v>2</v>
      </c>
      <c r="G228" s="26">
        <f t="shared" ca="1" si="22"/>
        <v>1.25</v>
      </c>
      <c r="H228" s="26">
        <f t="shared" ca="1" si="23"/>
        <v>2</v>
      </c>
      <c r="I228" s="26"/>
    </row>
    <row r="229" spans="1:9" x14ac:dyDescent="0.25">
      <c r="A229" s="21" t="s">
        <v>191</v>
      </c>
      <c r="B229" s="25">
        <v>150</v>
      </c>
      <c r="C229" s="72">
        <f t="shared" si="24"/>
        <v>660</v>
      </c>
      <c r="D229" s="64">
        <f t="shared" si="19"/>
        <v>192.39500000000001</v>
      </c>
      <c r="E229" s="26">
        <f t="shared" si="20"/>
        <v>1.25</v>
      </c>
      <c r="F229" s="26">
        <f t="shared" si="21"/>
        <v>2</v>
      </c>
      <c r="G229" s="26">
        <f t="shared" ca="1" si="22"/>
        <v>1.25</v>
      </c>
      <c r="H229" s="26">
        <f t="shared" ca="1" si="23"/>
        <v>2</v>
      </c>
      <c r="I229" s="26"/>
    </row>
    <row r="230" spans="1:9" x14ac:dyDescent="0.25">
      <c r="A230" s="21" t="s">
        <v>179</v>
      </c>
      <c r="B230" s="25">
        <v>160</v>
      </c>
      <c r="C230" s="72">
        <f t="shared" si="24"/>
        <v>820</v>
      </c>
      <c r="D230" s="64">
        <f t="shared" si="19"/>
        <v>192.39500000000001</v>
      </c>
      <c r="E230" s="26">
        <f t="shared" si="20"/>
        <v>1.25</v>
      </c>
      <c r="F230" s="26">
        <f t="shared" si="21"/>
        <v>2</v>
      </c>
      <c r="G230" s="26">
        <f t="shared" ca="1" si="22"/>
        <v>1.25</v>
      </c>
      <c r="H230" s="26">
        <f t="shared" ca="1" si="23"/>
        <v>2</v>
      </c>
      <c r="I230" s="26"/>
    </row>
    <row r="231" spans="1:9" x14ac:dyDescent="0.25">
      <c r="A231" s="21" t="s">
        <v>178</v>
      </c>
      <c r="B231" s="25">
        <v>220</v>
      </c>
      <c r="C231" s="72">
        <f t="shared" si="24"/>
        <v>1040</v>
      </c>
      <c r="D231" s="64">
        <f t="shared" si="19"/>
        <v>193.34000000000003</v>
      </c>
      <c r="E231" s="26">
        <f t="shared" si="20"/>
        <v>1.25</v>
      </c>
      <c r="F231" s="26">
        <f t="shared" si="21"/>
        <v>2.5</v>
      </c>
      <c r="G231" s="26">
        <f t="shared" ca="1" si="22"/>
        <v>1.25</v>
      </c>
      <c r="H231" s="26">
        <f t="shared" ca="1" si="23"/>
        <v>2.5</v>
      </c>
      <c r="I231" s="26"/>
    </row>
    <row r="232" spans="1:9" x14ac:dyDescent="0.25">
      <c r="A232" s="21" t="s">
        <v>177</v>
      </c>
      <c r="B232" s="25">
        <v>190</v>
      </c>
      <c r="C232" s="72">
        <f t="shared" si="24"/>
        <v>1230</v>
      </c>
      <c r="D232" s="64">
        <f t="shared" si="19"/>
        <v>192.39500000000001</v>
      </c>
      <c r="E232" s="26">
        <f t="shared" si="20"/>
        <v>1.25</v>
      </c>
      <c r="F232" s="26">
        <f t="shared" si="21"/>
        <v>2.5</v>
      </c>
      <c r="G232" s="26">
        <f t="shared" ca="1" si="22"/>
        <v>1.25</v>
      </c>
      <c r="H232" s="26">
        <f t="shared" ca="1" si="23"/>
        <v>2.5</v>
      </c>
      <c r="I232" s="26"/>
    </row>
    <row r="233" spans="1:9" x14ac:dyDescent="0.25">
      <c r="A233" s="21" t="s">
        <v>176</v>
      </c>
      <c r="B233" s="25">
        <v>150</v>
      </c>
      <c r="C233" s="72">
        <f t="shared" si="24"/>
        <v>1380</v>
      </c>
      <c r="D233" s="64">
        <f t="shared" si="19"/>
        <v>192.39500000000001</v>
      </c>
      <c r="E233" s="26">
        <f t="shared" si="20"/>
        <v>1.25</v>
      </c>
      <c r="F233" s="26">
        <f t="shared" si="21"/>
        <v>3</v>
      </c>
      <c r="G233" s="26">
        <f t="shared" ca="1" si="22"/>
        <v>1.25</v>
      </c>
      <c r="H233" s="26">
        <f t="shared" ca="1" si="23"/>
        <v>3</v>
      </c>
      <c r="I233" s="26"/>
    </row>
    <row r="234" spans="1:9" x14ac:dyDescent="0.25">
      <c r="A234" s="21" t="s">
        <v>175</v>
      </c>
      <c r="B234" s="25">
        <v>220</v>
      </c>
      <c r="C234" s="72">
        <f t="shared" si="24"/>
        <v>1600</v>
      </c>
      <c r="D234" s="64">
        <f t="shared" si="19"/>
        <v>193.34000000000003</v>
      </c>
      <c r="E234" s="26">
        <f t="shared" si="20"/>
        <v>1.25</v>
      </c>
      <c r="F234" s="26">
        <f t="shared" si="21"/>
        <v>3</v>
      </c>
      <c r="G234" s="26">
        <f t="shared" ca="1" si="22"/>
        <v>1.25</v>
      </c>
      <c r="H234" s="26">
        <f t="shared" ca="1" si="23"/>
        <v>3</v>
      </c>
      <c r="I234" s="26"/>
    </row>
    <row r="235" spans="1:9" x14ac:dyDescent="0.25">
      <c r="A235" s="21" t="s">
        <v>174</v>
      </c>
      <c r="B235" s="25">
        <v>120</v>
      </c>
      <c r="C235" s="72">
        <f t="shared" si="24"/>
        <v>1720</v>
      </c>
      <c r="D235" s="64">
        <f t="shared" si="19"/>
        <v>192.39500000000001</v>
      </c>
      <c r="E235" s="26">
        <f t="shared" si="20"/>
        <v>1</v>
      </c>
      <c r="F235" s="26">
        <f t="shared" si="21"/>
        <v>3</v>
      </c>
      <c r="G235" s="26">
        <f t="shared" ca="1" si="22"/>
        <v>1</v>
      </c>
      <c r="H235" s="26">
        <f t="shared" ca="1" si="23"/>
        <v>3</v>
      </c>
      <c r="I235" s="26"/>
    </row>
    <row r="236" spans="1:9" x14ac:dyDescent="0.25">
      <c r="A236" s="21" t="s">
        <v>192</v>
      </c>
      <c r="B236" s="25">
        <v>780</v>
      </c>
      <c r="C236" s="72">
        <f t="shared" si="24"/>
        <v>2500</v>
      </c>
      <c r="D236" s="64">
        <f t="shared" si="19"/>
        <v>196.98000000000002</v>
      </c>
      <c r="E236" s="26">
        <f t="shared" si="20"/>
        <v>2</v>
      </c>
      <c r="F236" s="26">
        <f t="shared" si="21"/>
        <v>3</v>
      </c>
      <c r="G236" s="26">
        <f t="shared" ca="1" si="22"/>
        <v>2</v>
      </c>
      <c r="H236" s="26">
        <f t="shared" ca="1" si="23"/>
        <v>3</v>
      </c>
      <c r="I236" s="26"/>
    </row>
    <row r="237" spans="1:9" x14ac:dyDescent="0.25">
      <c r="A237" s="21" t="s">
        <v>193</v>
      </c>
      <c r="B237" s="25">
        <v>780</v>
      </c>
      <c r="C237" s="72">
        <f t="shared" si="24"/>
        <v>3280</v>
      </c>
      <c r="D237" s="64">
        <f t="shared" si="19"/>
        <v>196.98000000000002</v>
      </c>
      <c r="E237" s="26">
        <f t="shared" si="20"/>
        <v>2</v>
      </c>
      <c r="F237" s="26">
        <f t="shared" si="21"/>
        <v>4</v>
      </c>
      <c r="G237" s="26">
        <f t="shared" ca="1" si="22"/>
        <v>2</v>
      </c>
      <c r="H237" s="26">
        <f t="shared" ca="1" si="23"/>
        <v>4</v>
      </c>
      <c r="I237" s="26"/>
    </row>
    <row r="238" spans="1:9" x14ac:dyDescent="0.25">
      <c r="A238" s="75" t="s">
        <v>194</v>
      </c>
      <c r="B238" s="64">
        <f>B175+B176</f>
        <v>2364</v>
      </c>
      <c r="C238" s="72">
        <f>C237+B238</f>
        <v>5644</v>
      </c>
      <c r="D238" s="64">
        <f t="shared" si="19"/>
        <v>187.07000000000002</v>
      </c>
      <c r="E238" s="26">
        <f t="shared" si="20"/>
        <v>3</v>
      </c>
      <c r="F238" s="26">
        <f t="shared" si="21"/>
        <v>5</v>
      </c>
      <c r="G238" s="26">
        <f t="shared" ca="1" si="22"/>
        <v>3</v>
      </c>
      <c r="H238" s="26">
        <f t="shared" ca="1" si="23"/>
        <v>5</v>
      </c>
      <c r="I238" s="26"/>
    </row>
    <row r="239" spans="1:9" x14ac:dyDescent="0.25">
      <c r="A239" s="21"/>
      <c r="B239" s="25"/>
      <c r="C239" s="64"/>
      <c r="E239" s="68"/>
    </row>
  </sheetData>
  <sortState ref="A87:M127">
    <sortCondition descending="1" ref="A87"/>
  </sortState>
  <dataValidations count="3">
    <dataValidation type="list" allowBlank="1" showInputMessage="1" showErrorMessage="1" sqref="B177 B181:B222 B168:B173 B122:B152 C37:C112">
      <formula1>EQLC_PIPE_SIZE</formula1>
    </dataValidation>
    <dataValidation type="list" allowBlank="1" showInputMessage="1" showErrorMessage="1" sqref="C181:C222 C122:C152 C168:C173 D37:D112">
      <formula1>EQLC_FITTING</formula1>
    </dataValidation>
    <dataValidation type="list" allowBlank="1" showInputMessage="1" showErrorMessage="1" sqref="A2">
      <formula1>"Natural Gas, Propane"</formula1>
    </dataValidation>
  </dataValidations>
  <hyperlinks>
    <hyperlink ref="A3" r:id="rId1"/>
  </hyperlinks>
  <pageMargins left="0.7" right="0.7" top="0.75" bottom="0.75" header="0.3" footer="0.3"/>
  <pageSetup orientation="portrait"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7"/>
  <sheetViews>
    <sheetView topLeftCell="B1" workbookViewId="0">
      <selection activeCell="O5" sqref="O5"/>
    </sheetView>
  </sheetViews>
  <sheetFormatPr defaultRowHeight="15" x14ac:dyDescent="0.25"/>
  <cols>
    <col min="1" max="1" width="20.140625" bestFit="1" customWidth="1"/>
    <col min="2" max="2" width="10" bestFit="1" customWidth="1"/>
    <col min="3" max="3" width="11.140625" bestFit="1" customWidth="1"/>
    <col min="4" max="4" width="10.5703125" bestFit="1" customWidth="1"/>
    <col min="5" max="19" width="6" bestFit="1" customWidth="1"/>
  </cols>
  <sheetData>
    <row r="1" spans="1:19" x14ac:dyDescent="0.25">
      <c r="A1" s="14" t="s">
        <v>183</v>
      </c>
      <c r="B1" s="14" t="s">
        <v>209</v>
      </c>
    </row>
    <row r="2" spans="1:19" x14ac:dyDescent="0.25">
      <c r="A2" s="14" t="s">
        <v>206</v>
      </c>
      <c r="B2" s="63" t="s">
        <v>207</v>
      </c>
      <c r="C2" s="63" t="s">
        <v>208</v>
      </c>
      <c r="D2" s="63" t="s">
        <v>205</v>
      </c>
    </row>
    <row r="3" spans="1:19" x14ac:dyDescent="0.25">
      <c r="A3" t="str">
        <f>'BETA - Gas Pipilator'!A2</f>
        <v>Natural Gas</v>
      </c>
      <c r="B3" s="25">
        <f>IF(A3="Natural Gas",0.6,1.5)</f>
        <v>0.6</v>
      </c>
      <c r="C3" s="25">
        <f>IF(A3="Natural Gas",0.012,0.008)</f>
        <v>1.2E-2</v>
      </c>
      <c r="D3" s="25">
        <v>0.5</v>
      </c>
    </row>
    <row r="4" spans="1:19" ht="30" x14ac:dyDescent="0.25">
      <c r="A4" s="61" t="s">
        <v>147</v>
      </c>
      <c r="B4" s="61" t="s">
        <v>148</v>
      </c>
      <c r="C4" s="79">
        <v>10</v>
      </c>
      <c r="D4" s="79">
        <v>20</v>
      </c>
      <c r="E4" s="79">
        <v>30</v>
      </c>
      <c r="F4" s="79">
        <v>40</v>
      </c>
      <c r="G4" s="79">
        <v>50</v>
      </c>
      <c r="H4" s="79">
        <v>60</v>
      </c>
      <c r="I4" s="79">
        <v>70</v>
      </c>
      <c r="J4" s="79">
        <v>80</v>
      </c>
      <c r="K4" s="79">
        <v>90</v>
      </c>
      <c r="L4" s="79">
        <v>100</v>
      </c>
      <c r="M4" s="79">
        <v>125</v>
      </c>
      <c r="N4" s="79">
        <v>150</v>
      </c>
      <c r="O4" s="79">
        <v>175</v>
      </c>
      <c r="P4" s="79">
        <v>200</v>
      </c>
      <c r="Q4" s="79">
        <v>225</v>
      </c>
      <c r="R4" s="79">
        <v>250</v>
      </c>
      <c r="S4" s="79">
        <v>300</v>
      </c>
    </row>
    <row r="5" spans="1:19" x14ac:dyDescent="0.25">
      <c r="A5" s="74">
        <v>0.25</v>
      </c>
      <c r="B5" s="81">
        <v>0.36399999999999999</v>
      </c>
      <c r="C5" s="80">
        <f>3550*(($B5^5/(1+3.6/$B5+0.03*$B5))^0.5)*($D$3/(C$4*$B$3))^0.5</f>
        <v>24.811751559920662</v>
      </c>
      <c r="D5" s="80">
        <f t="shared" ref="D5:S18" si="0">3550*(($B5^5/(1+3.6/$B5+0.03*$B5))^0.5)*($D$3/(D$4*$B$3))^0.5</f>
        <v>17.544557781135801</v>
      </c>
      <c r="E5" s="80">
        <f t="shared" si="0"/>
        <v>14.32507144218631</v>
      </c>
      <c r="F5" s="80">
        <f t="shared" si="0"/>
        <v>12.405875779960331</v>
      </c>
      <c r="G5" s="80">
        <f t="shared" si="0"/>
        <v>11.096152625763809</v>
      </c>
      <c r="H5" s="80">
        <f t="shared" si="0"/>
        <v>10.129355157751696</v>
      </c>
      <c r="I5" s="80">
        <f t="shared" si="0"/>
        <v>9.3779606027812843</v>
      </c>
      <c r="J5" s="80">
        <f t="shared" si="0"/>
        <v>8.7722788905679003</v>
      </c>
      <c r="K5" s="80">
        <f t="shared" si="0"/>
        <v>8.2705838533068885</v>
      </c>
      <c r="L5" s="80">
        <f t="shared" si="0"/>
        <v>7.8461647667585046</v>
      </c>
      <c r="M5" s="80">
        <f t="shared" si="0"/>
        <v>7.0178231124543204</v>
      </c>
      <c r="N5" s="80">
        <f t="shared" si="0"/>
        <v>6.406366705453908</v>
      </c>
      <c r="O5" s="80">
        <f t="shared" si="0"/>
        <v>5.9311430624228887</v>
      </c>
      <c r="P5" s="80">
        <f t="shared" si="0"/>
        <v>5.5480763128819044</v>
      </c>
      <c r="Q5" s="80">
        <f t="shared" si="0"/>
        <v>5.2307765111723361</v>
      </c>
      <c r="R5" s="80">
        <f t="shared" si="0"/>
        <v>4.9623503119841326</v>
      </c>
      <c r="S5" s="80">
        <f t="shared" si="0"/>
        <v>4.5299853401941803</v>
      </c>
    </row>
    <row r="6" spans="1:19" x14ac:dyDescent="0.25">
      <c r="A6" s="74">
        <v>0.375</v>
      </c>
      <c r="B6" s="81">
        <v>0.49299999999999999</v>
      </c>
      <c r="C6" s="80">
        <f t="shared" ref="C6:R17" si="1">3550*(($B6^5/(1+3.6/$B6+0.03*$B6))^0.5)*($D$3/(C$4*$B$3))^0.5</f>
        <v>60.641665846693904</v>
      </c>
      <c r="D6" s="80">
        <f t="shared" si="1"/>
        <v>42.880133142645917</v>
      </c>
      <c r="E6" s="80">
        <f t="shared" si="1"/>
        <v>35.011482100696057</v>
      </c>
      <c r="F6" s="80">
        <f t="shared" si="1"/>
        <v>30.320832923346952</v>
      </c>
      <c r="G6" s="80">
        <f t="shared" si="1"/>
        <v>27.119777420406979</v>
      </c>
      <c r="H6" s="80">
        <f t="shared" si="1"/>
        <v>24.756856412793613</v>
      </c>
      <c r="I6" s="80">
        <f t="shared" si="1"/>
        <v>22.920395274147314</v>
      </c>
      <c r="J6" s="80">
        <f t="shared" si="1"/>
        <v>21.440066571322959</v>
      </c>
      <c r="K6" s="80">
        <f t="shared" si="1"/>
        <v>20.213888615564635</v>
      </c>
      <c r="L6" s="80">
        <f t="shared" si="1"/>
        <v>19.176578518239591</v>
      </c>
      <c r="M6" s="80">
        <f t="shared" si="1"/>
        <v>17.15205325705837</v>
      </c>
      <c r="N6" s="80">
        <f t="shared" si="1"/>
        <v>15.657610794034706</v>
      </c>
      <c r="O6" s="80">
        <f t="shared" si="1"/>
        <v>14.496130787532991</v>
      </c>
      <c r="P6" s="80">
        <f t="shared" si="1"/>
        <v>13.55988871020349</v>
      </c>
      <c r="Q6" s="80">
        <f t="shared" si="1"/>
        <v>12.784385678826395</v>
      </c>
      <c r="R6" s="80">
        <f t="shared" si="1"/>
        <v>12.128333169338783</v>
      </c>
      <c r="S6" s="80">
        <f t="shared" si="0"/>
        <v>11.071602769641624</v>
      </c>
    </row>
    <row r="7" spans="1:19" x14ac:dyDescent="0.25">
      <c r="A7" s="74">
        <v>0.5</v>
      </c>
      <c r="B7" s="82">
        <v>0.622</v>
      </c>
      <c r="C7" s="80">
        <f t="shared" si="1"/>
        <v>119.85430514532734</v>
      </c>
      <c r="D7" s="80">
        <f t="shared" si="0"/>
        <v>84.749791922662681</v>
      </c>
      <c r="E7" s="80">
        <f t="shared" si="0"/>
        <v>69.197915339190288</v>
      </c>
      <c r="F7" s="80">
        <f t="shared" si="0"/>
        <v>59.927152572663672</v>
      </c>
      <c r="G7" s="80">
        <f t="shared" si="0"/>
        <v>53.600474740190947</v>
      </c>
      <c r="H7" s="80">
        <f t="shared" si="0"/>
        <v>48.930315180314068</v>
      </c>
      <c r="I7" s="80">
        <f t="shared" si="0"/>
        <v>45.30066928214076</v>
      </c>
      <c r="J7" s="80">
        <f t="shared" si="0"/>
        <v>42.37489596133134</v>
      </c>
      <c r="K7" s="80">
        <f t="shared" si="0"/>
        <v>39.951435048442448</v>
      </c>
      <c r="L7" s="80">
        <f t="shared" si="0"/>
        <v>37.901259163607271</v>
      </c>
      <c r="M7" s="80">
        <f t="shared" si="0"/>
        <v>33.899916769065072</v>
      </c>
      <c r="N7" s="80">
        <f t="shared" si="0"/>
        <v>30.946248519940983</v>
      </c>
      <c r="O7" s="80">
        <f t="shared" si="0"/>
        <v>28.650658892317935</v>
      </c>
      <c r="P7" s="80">
        <f t="shared" si="0"/>
        <v>26.800237370095473</v>
      </c>
      <c r="Q7" s="80">
        <f t="shared" si="0"/>
        <v>25.267506109071515</v>
      </c>
      <c r="R7" s="80">
        <f t="shared" si="0"/>
        <v>23.970861029065471</v>
      </c>
      <c r="S7" s="80">
        <f t="shared" si="0"/>
        <v>21.882302180734428</v>
      </c>
    </row>
    <row r="8" spans="1:19" x14ac:dyDescent="0.25">
      <c r="A8" s="74">
        <v>0.75</v>
      </c>
      <c r="B8" s="83">
        <v>0.82399999999999995</v>
      </c>
      <c r="C8" s="80">
        <f t="shared" si="1"/>
        <v>271.96580134448374</v>
      </c>
      <c r="D8" s="80">
        <f t="shared" si="0"/>
        <v>192.30886238151791</v>
      </c>
      <c r="E8" s="80">
        <f t="shared" si="0"/>
        <v>157.01952861660996</v>
      </c>
      <c r="F8" s="80">
        <f t="shared" si="0"/>
        <v>135.98290067224187</v>
      </c>
      <c r="G8" s="80">
        <f t="shared" si="0"/>
        <v>121.62680387229385</v>
      </c>
      <c r="H8" s="80">
        <f t="shared" si="0"/>
        <v>111.02957346352007</v>
      </c>
      <c r="I8" s="80">
        <f t="shared" si="0"/>
        <v>102.79341078169996</v>
      </c>
      <c r="J8" s="80">
        <f t="shared" si="0"/>
        <v>96.154431190758956</v>
      </c>
      <c r="K8" s="80">
        <f t="shared" si="0"/>
        <v>90.655267114827922</v>
      </c>
      <c r="L8" s="80">
        <f t="shared" si="0"/>
        <v>86.003137792145225</v>
      </c>
      <c r="M8" s="80">
        <f t="shared" si="0"/>
        <v>76.923544952607173</v>
      </c>
      <c r="N8" s="80">
        <f t="shared" si="0"/>
        <v>70.221267956342686</v>
      </c>
      <c r="O8" s="80">
        <f t="shared" si="0"/>
        <v>65.012261305496253</v>
      </c>
      <c r="P8" s="80">
        <f t="shared" si="0"/>
        <v>60.813401936146924</v>
      </c>
      <c r="Q8" s="80">
        <f t="shared" si="0"/>
        <v>57.335425194763488</v>
      </c>
      <c r="R8" s="80">
        <f t="shared" si="0"/>
        <v>54.39316026889675</v>
      </c>
      <c r="S8" s="80">
        <f t="shared" si="0"/>
        <v>49.653934755447523</v>
      </c>
    </row>
    <row r="9" spans="1:19" x14ac:dyDescent="0.25">
      <c r="A9" s="74">
        <v>1</v>
      </c>
      <c r="B9" s="82">
        <v>1.0489999999999999</v>
      </c>
      <c r="C9" s="80">
        <f t="shared" si="1"/>
        <v>546.69856255094498</v>
      </c>
      <c r="D9" s="80">
        <f t="shared" si="0"/>
        <v>386.57426084471115</v>
      </c>
      <c r="E9" s="80">
        <f t="shared" si="0"/>
        <v>315.63656225436955</v>
      </c>
      <c r="F9" s="80">
        <f t="shared" si="0"/>
        <v>273.34928127547249</v>
      </c>
      <c r="G9" s="80">
        <f t="shared" si="0"/>
        <v>244.49102981306675</v>
      </c>
      <c r="H9" s="80">
        <f t="shared" si="0"/>
        <v>223.18875356047457</v>
      </c>
      <c r="I9" s="80">
        <f t="shared" si="0"/>
        <v>206.63263408946995</v>
      </c>
      <c r="J9" s="80">
        <f t="shared" si="0"/>
        <v>193.28713042235557</v>
      </c>
      <c r="K9" s="80">
        <f t="shared" si="0"/>
        <v>182.23285418364833</v>
      </c>
      <c r="L9" s="80">
        <f t="shared" si="0"/>
        <v>172.88126512010186</v>
      </c>
      <c r="M9" s="80">
        <f t="shared" si="0"/>
        <v>154.62970433788445</v>
      </c>
      <c r="N9" s="80">
        <f t="shared" si="0"/>
        <v>141.15696187702292</v>
      </c>
      <c r="O9" s="80">
        <f t="shared" si="0"/>
        <v>130.6859525285756</v>
      </c>
      <c r="P9" s="80">
        <f t="shared" si="0"/>
        <v>122.24551490653337</v>
      </c>
      <c r="Q9" s="80">
        <f t="shared" si="0"/>
        <v>115.25417674673459</v>
      </c>
      <c r="R9" s="80">
        <f t="shared" si="0"/>
        <v>109.339712510189</v>
      </c>
      <c r="S9" s="80">
        <f t="shared" si="0"/>
        <v>99.813044954933872</v>
      </c>
    </row>
    <row r="10" spans="1:19" x14ac:dyDescent="0.25">
      <c r="A10" s="74">
        <v>1.25</v>
      </c>
      <c r="B10" s="82">
        <v>1.38</v>
      </c>
      <c r="C10" s="80">
        <f t="shared" si="1"/>
        <v>1200.0057396846669</v>
      </c>
      <c r="D10" s="80">
        <f t="shared" si="0"/>
        <v>848.53219599380679</v>
      </c>
      <c r="E10" s="80">
        <f t="shared" si="0"/>
        <v>692.8236368360383</v>
      </c>
      <c r="F10" s="80">
        <f t="shared" si="0"/>
        <v>600.00286984233344</v>
      </c>
      <c r="G10" s="80">
        <f t="shared" si="0"/>
        <v>536.65888146496638</v>
      </c>
      <c r="H10" s="80">
        <f t="shared" si="0"/>
        <v>489.90029177308867</v>
      </c>
      <c r="I10" s="80">
        <f t="shared" si="0"/>
        <v>453.559537007963</v>
      </c>
      <c r="J10" s="80">
        <f t="shared" si="0"/>
        <v>424.2660979969034</v>
      </c>
      <c r="K10" s="80">
        <f t="shared" si="0"/>
        <v>400.00191322822229</v>
      </c>
      <c r="L10" s="80">
        <f t="shared" si="0"/>
        <v>379.47513426786531</v>
      </c>
      <c r="M10" s="80">
        <f t="shared" si="0"/>
        <v>339.41287839752277</v>
      </c>
      <c r="N10" s="80">
        <f t="shared" si="0"/>
        <v>309.84014967680184</v>
      </c>
      <c r="O10" s="80">
        <f t="shared" si="0"/>
        <v>286.85623828731894</v>
      </c>
      <c r="P10" s="80">
        <f t="shared" si="0"/>
        <v>268.32944073248319</v>
      </c>
      <c r="Q10" s="80">
        <f t="shared" si="0"/>
        <v>252.98342284524358</v>
      </c>
      <c r="R10" s="80">
        <f t="shared" si="0"/>
        <v>240.00114793693339</v>
      </c>
      <c r="S10" s="80">
        <f t="shared" si="0"/>
        <v>219.09007092032144</v>
      </c>
    </row>
    <row r="11" spans="1:19" x14ac:dyDescent="0.25">
      <c r="A11" s="74">
        <v>1.5</v>
      </c>
      <c r="B11" s="82">
        <v>1.61</v>
      </c>
      <c r="C11" s="80">
        <f t="shared" si="1"/>
        <v>1859.8562021015214</v>
      </c>
      <c r="D11" s="80">
        <f t="shared" si="0"/>
        <v>1315.1169325378439</v>
      </c>
      <c r="E11" s="80">
        <f t="shared" si="0"/>
        <v>1073.7884789373084</v>
      </c>
      <c r="F11" s="80">
        <f t="shared" si="0"/>
        <v>929.92810105076069</v>
      </c>
      <c r="G11" s="80">
        <f t="shared" si="0"/>
        <v>831.75297925471784</v>
      </c>
      <c r="H11" s="80">
        <f t="shared" si="0"/>
        <v>759.28311501655912</v>
      </c>
      <c r="I11" s="80">
        <f t="shared" si="0"/>
        <v>702.95956930024431</v>
      </c>
      <c r="J11" s="80">
        <f t="shared" si="0"/>
        <v>657.55846626892196</v>
      </c>
      <c r="K11" s="80">
        <f t="shared" si="0"/>
        <v>619.95206736717387</v>
      </c>
      <c r="L11" s="80">
        <f t="shared" si="0"/>
        <v>588.13817190312477</v>
      </c>
      <c r="M11" s="80">
        <f t="shared" si="0"/>
        <v>526.04677301513766</v>
      </c>
      <c r="N11" s="80">
        <f t="shared" si="0"/>
        <v>480.21280647198461</v>
      </c>
      <c r="O11" s="80">
        <f t="shared" si="0"/>
        <v>444.59066839994972</v>
      </c>
      <c r="P11" s="80">
        <f t="shared" si="0"/>
        <v>415.87648962735892</v>
      </c>
      <c r="Q11" s="80">
        <f t="shared" si="0"/>
        <v>392.0921146020832</v>
      </c>
      <c r="R11" s="80">
        <f t="shared" si="0"/>
        <v>371.97124042030435</v>
      </c>
      <c r="S11" s="80">
        <f t="shared" si="0"/>
        <v>339.56173186896348</v>
      </c>
    </row>
    <row r="12" spans="1:19" x14ac:dyDescent="0.25">
      <c r="A12" s="74">
        <v>2</v>
      </c>
      <c r="B12" s="82">
        <v>2.0670000000000002</v>
      </c>
      <c r="C12" s="80">
        <f t="shared" si="1"/>
        <v>3759.4636906870846</v>
      </c>
      <c r="D12" s="80">
        <f t="shared" si="0"/>
        <v>2658.3422693094431</v>
      </c>
      <c r="E12" s="80">
        <f t="shared" si="0"/>
        <v>2170.5273738268124</v>
      </c>
      <c r="F12" s="80">
        <f t="shared" si="0"/>
        <v>1879.7318453435423</v>
      </c>
      <c r="G12" s="80">
        <f t="shared" si="0"/>
        <v>1681.2832742637129</v>
      </c>
      <c r="H12" s="80">
        <f t="shared" si="0"/>
        <v>1534.7946247839675</v>
      </c>
      <c r="I12" s="80">
        <f t="shared" si="0"/>
        <v>1420.9437126478683</v>
      </c>
      <c r="J12" s="80">
        <f t="shared" si="0"/>
        <v>1329.1711346547215</v>
      </c>
      <c r="K12" s="80">
        <f t="shared" si="0"/>
        <v>1253.1545635623618</v>
      </c>
      <c r="L12" s="80">
        <f t="shared" si="0"/>
        <v>1188.8468043273933</v>
      </c>
      <c r="M12" s="80">
        <f t="shared" si="0"/>
        <v>1063.3369077237771</v>
      </c>
      <c r="N12" s="80">
        <f t="shared" si="0"/>
        <v>970.68935098017016</v>
      </c>
      <c r="O12" s="80">
        <f t="shared" si="0"/>
        <v>898.68371177261429</v>
      </c>
      <c r="P12" s="80">
        <f t="shared" si="0"/>
        <v>840.64163713185644</v>
      </c>
      <c r="Q12" s="80">
        <f t="shared" si="0"/>
        <v>792.56453621826233</v>
      </c>
      <c r="R12" s="80">
        <f t="shared" si="0"/>
        <v>751.89273813741704</v>
      </c>
      <c r="S12" s="80">
        <f t="shared" si="0"/>
        <v>686.38102250364693</v>
      </c>
    </row>
    <row r="13" spans="1:19" x14ac:dyDescent="0.25">
      <c r="A13" s="74">
        <v>2.5</v>
      </c>
      <c r="B13" s="82">
        <v>2.4689999999999999</v>
      </c>
      <c r="C13" s="80">
        <f t="shared" si="1"/>
        <v>6168.7294568390771</v>
      </c>
      <c r="D13" s="80">
        <f t="shared" si="0"/>
        <v>4361.9504302361202</v>
      </c>
      <c r="E13" s="80">
        <f t="shared" si="0"/>
        <v>3561.5176124640152</v>
      </c>
      <c r="F13" s="80">
        <f t="shared" si="0"/>
        <v>3084.3647284195386</v>
      </c>
      <c r="G13" s="80">
        <f t="shared" si="0"/>
        <v>2758.7396800595061</v>
      </c>
      <c r="H13" s="80">
        <f t="shared" si="0"/>
        <v>2518.3732550886275</v>
      </c>
      <c r="I13" s="80">
        <f t="shared" si="0"/>
        <v>2331.5605782906782</v>
      </c>
      <c r="J13" s="80">
        <f t="shared" si="0"/>
        <v>2180.9752151180601</v>
      </c>
      <c r="K13" s="80">
        <f t="shared" si="0"/>
        <v>2056.2431522796928</v>
      </c>
      <c r="L13" s="80">
        <f t="shared" si="0"/>
        <v>1950.7235352984835</v>
      </c>
      <c r="M13" s="80">
        <f t="shared" si="0"/>
        <v>1744.7801720944481</v>
      </c>
      <c r="N13" s="80">
        <f t="shared" si="0"/>
        <v>1592.7590969064581</v>
      </c>
      <c r="O13" s="80">
        <f t="shared" si="0"/>
        <v>1474.6083860115759</v>
      </c>
      <c r="P13" s="80">
        <f t="shared" si="0"/>
        <v>1379.369840029753</v>
      </c>
      <c r="Q13" s="80">
        <f t="shared" si="0"/>
        <v>1300.4823568656557</v>
      </c>
      <c r="R13" s="80">
        <f t="shared" si="0"/>
        <v>1233.7458913678156</v>
      </c>
      <c r="S13" s="80">
        <f t="shared" si="0"/>
        <v>1126.2507582191179</v>
      </c>
    </row>
    <row r="14" spans="1:19" x14ac:dyDescent="0.25">
      <c r="A14" s="74">
        <v>3</v>
      </c>
      <c r="B14" s="82">
        <v>3.0680000000000001</v>
      </c>
      <c r="C14" s="80">
        <f t="shared" si="1"/>
        <v>11225.341474081037</v>
      </c>
      <c r="D14" s="80">
        <f t="shared" si="0"/>
        <v>7937.5150774572967</v>
      </c>
      <c r="E14" s="80">
        <f t="shared" si="0"/>
        <v>6480.9539218061564</v>
      </c>
      <c r="F14" s="80">
        <f t="shared" si="0"/>
        <v>5612.6707370405184</v>
      </c>
      <c r="G14" s="80">
        <f t="shared" si="0"/>
        <v>5020.125321338578</v>
      </c>
      <c r="H14" s="80">
        <f t="shared" si="0"/>
        <v>4582.7264666666833</v>
      </c>
      <c r="I14" s="80">
        <f t="shared" si="0"/>
        <v>4242.7802745996605</v>
      </c>
      <c r="J14" s="80">
        <f t="shared" si="0"/>
        <v>3968.7575387286483</v>
      </c>
      <c r="K14" s="80">
        <f t="shared" si="0"/>
        <v>3741.7804913603459</v>
      </c>
      <c r="L14" s="80">
        <f t="shared" si="0"/>
        <v>3549.7646571248042</v>
      </c>
      <c r="M14" s="80">
        <f t="shared" si="0"/>
        <v>3175.0060309829187</v>
      </c>
      <c r="N14" s="80">
        <f t="shared" si="0"/>
        <v>2898.3707056404846</v>
      </c>
      <c r="O14" s="80">
        <f t="shared" si="0"/>
        <v>2683.3698558739138</v>
      </c>
      <c r="P14" s="80">
        <f t="shared" si="0"/>
        <v>2510.062660669289</v>
      </c>
      <c r="Q14" s="80">
        <f t="shared" si="0"/>
        <v>2366.5097714165363</v>
      </c>
      <c r="R14" s="80">
        <f t="shared" si="0"/>
        <v>2245.0682948162075</v>
      </c>
      <c r="S14" s="80">
        <f t="shared" si="0"/>
        <v>2049.4575803508255</v>
      </c>
    </row>
    <row r="15" spans="1:19" x14ac:dyDescent="0.25">
      <c r="A15" s="74">
        <v>4</v>
      </c>
      <c r="B15" s="82">
        <v>4.0259999999999998</v>
      </c>
      <c r="C15" s="80">
        <f t="shared" si="1"/>
        <v>23479.45994789114</v>
      </c>
      <c r="D15" s="80">
        <f t="shared" si="0"/>
        <v>16602.485347751768</v>
      </c>
      <c r="E15" s="80">
        <f t="shared" si="0"/>
        <v>13555.872521341986</v>
      </c>
      <c r="F15" s="80">
        <f t="shared" si="0"/>
        <v>11739.72997394557</v>
      </c>
      <c r="G15" s="80">
        <f t="shared" si="0"/>
        <v>10500.333703693652</v>
      </c>
      <c r="H15" s="80">
        <f t="shared" si="0"/>
        <v>9585.4493847413014</v>
      </c>
      <c r="I15" s="80">
        <f t="shared" si="0"/>
        <v>8874.4017057459314</v>
      </c>
      <c r="J15" s="80">
        <f t="shared" si="0"/>
        <v>8301.2426738758841</v>
      </c>
      <c r="K15" s="80">
        <f t="shared" si="0"/>
        <v>7826.4866492970477</v>
      </c>
      <c r="L15" s="80">
        <f t="shared" si="0"/>
        <v>7424.8571666034368</v>
      </c>
      <c r="M15" s="80">
        <f t="shared" si="0"/>
        <v>6640.9941391007078</v>
      </c>
      <c r="N15" s="80">
        <f t="shared" si="0"/>
        <v>6062.3704904084307</v>
      </c>
      <c r="O15" s="80">
        <f t="shared" si="0"/>
        <v>5612.6644522881043</v>
      </c>
      <c r="P15" s="80">
        <f t="shared" si="0"/>
        <v>5250.1668518468259</v>
      </c>
      <c r="Q15" s="80">
        <f t="shared" si="0"/>
        <v>4949.9047777356254</v>
      </c>
      <c r="R15" s="80">
        <f t="shared" si="0"/>
        <v>4695.8919895782283</v>
      </c>
      <c r="S15" s="80">
        <f t="shared" si="0"/>
        <v>4286.7432838330169</v>
      </c>
    </row>
    <row r="16" spans="1:19" x14ac:dyDescent="0.25">
      <c r="A16" s="74">
        <v>5</v>
      </c>
      <c r="B16" s="82">
        <v>5.0469999999999997</v>
      </c>
      <c r="C16" s="80">
        <f t="shared" si="1"/>
        <v>42945.327704999705</v>
      </c>
      <c r="D16" s="80">
        <f t="shared" si="0"/>
        <v>30366.932440483808</v>
      </c>
      <c r="E16" s="80">
        <f t="shared" si="0"/>
        <v>24794.496510918274</v>
      </c>
      <c r="F16" s="80">
        <f t="shared" si="0"/>
        <v>21472.663852499853</v>
      </c>
      <c r="G16" s="80">
        <f t="shared" si="0"/>
        <v>19205.734412876875</v>
      </c>
      <c r="H16" s="80">
        <f t="shared" si="0"/>
        <v>17532.356618976504</v>
      </c>
      <c r="I16" s="80">
        <f t="shared" si="0"/>
        <v>16231.80815422878</v>
      </c>
      <c r="J16" s="80">
        <f t="shared" si="0"/>
        <v>15183.466220241904</v>
      </c>
      <c r="K16" s="80">
        <f t="shared" si="0"/>
        <v>14315.109234999903</v>
      </c>
      <c r="L16" s="80">
        <f t="shared" si="0"/>
        <v>13580.505041013075</v>
      </c>
      <c r="M16" s="80">
        <f t="shared" si="0"/>
        <v>12146.772976193524</v>
      </c>
      <c r="N16" s="80">
        <f t="shared" si="0"/>
        <v>11088.435933258925</v>
      </c>
      <c r="O16" s="80">
        <f t="shared" si="0"/>
        <v>10265.896862051322</v>
      </c>
      <c r="P16" s="80">
        <f t="shared" si="0"/>
        <v>9602.8672064384373</v>
      </c>
      <c r="Q16" s="80">
        <f t="shared" si="0"/>
        <v>9053.6700273420502</v>
      </c>
      <c r="R16" s="80">
        <f t="shared" si="0"/>
        <v>8589.0655409999436</v>
      </c>
      <c r="S16" s="80">
        <f t="shared" si="0"/>
        <v>7840.7082411599695</v>
      </c>
    </row>
    <row r="17" spans="1:19" x14ac:dyDescent="0.25">
      <c r="A17" s="74">
        <v>6</v>
      </c>
      <c r="B17" s="82">
        <v>6.0650000000000004</v>
      </c>
      <c r="C17" s="80">
        <f t="shared" si="1"/>
        <v>69670.992932841997</v>
      </c>
      <c r="D17" s="80">
        <f t="shared" si="0"/>
        <v>49264.831554812612</v>
      </c>
      <c r="E17" s="80">
        <f t="shared" si="0"/>
        <v>40224.566524484842</v>
      </c>
      <c r="F17" s="80">
        <f t="shared" si="0"/>
        <v>34835.496466420998</v>
      </c>
      <c r="G17" s="80">
        <f t="shared" si="0"/>
        <v>31157.815251548429</v>
      </c>
      <c r="H17" s="80">
        <f t="shared" si="0"/>
        <v>28443.063759752629</v>
      </c>
      <c r="I17" s="80">
        <f t="shared" si="0"/>
        <v>26333.16012789122</v>
      </c>
      <c r="J17" s="80">
        <f t="shared" si="0"/>
        <v>24632.415777406306</v>
      </c>
      <c r="K17" s="80">
        <f t="shared" si="0"/>
        <v>23223.664310947337</v>
      </c>
      <c r="L17" s="80">
        <f t="shared" si="0"/>
        <v>22031.902451327529</v>
      </c>
      <c r="M17" s="80">
        <f t="shared" si="0"/>
        <v>19705.932621925043</v>
      </c>
      <c r="N17" s="80">
        <f t="shared" si="0"/>
        <v>17988.973022842114</v>
      </c>
      <c r="O17" s="80">
        <f t="shared" si="0"/>
        <v>16654.552798813424</v>
      </c>
      <c r="P17" s="80">
        <f t="shared" si="0"/>
        <v>15578.907625774214</v>
      </c>
      <c r="Q17" s="80">
        <f t="shared" si="0"/>
        <v>14687.934967551686</v>
      </c>
      <c r="R17" s="80">
        <f t="shared" si="0"/>
        <v>13934.198586568402</v>
      </c>
      <c r="S17" s="80">
        <f t="shared" si="0"/>
        <v>12720.124811033525</v>
      </c>
    </row>
    <row r="18" spans="1:19" x14ac:dyDescent="0.25">
      <c r="A18" s="74">
        <v>8</v>
      </c>
      <c r="B18" s="82">
        <v>7.9809999999999999</v>
      </c>
      <c r="C18" s="80">
        <f>3550*(($B18^5/(1+3.6/$B18+0.03*$B18))^0.5)*($D$3/(C$4*$B$3))^0.5</f>
        <v>141831.68198838053</v>
      </c>
      <c r="D18" s="80">
        <f t="shared" si="0"/>
        <v>100290.1441210778</v>
      </c>
      <c r="E18" s="80">
        <f t="shared" si="0"/>
        <v>81886.559775608897</v>
      </c>
      <c r="F18" s="80">
        <f t="shared" si="0"/>
        <v>70915.840994190265</v>
      </c>
      <c r="G18" s="80">
        <f t="shared" si="0"/>
        <v>63429.05645783028</v>
      </c>
      <c r="H18" s="80">
        <f t="shared" si="0"/>
        <v>57902.541705370626</v>
      </c>
      <c r="I18" s="80">
        <f t="shared" si="0"/>
        <v>53607.336938750552</v>
      </c>
      <c r="J18" s="80">
        <f t="shared" si="0"/>
        <v>50145.0720605389</v>
      </c>
      <c r="K18" s="80">
        <f t="shared" si="0"/>
        <v>47277.227329460184</v>
      </c>
      <c r="L18" s="80">
        <f t="shared" si="0"/>
        <v>44851.115945596168</v>
      </c>
      <c r="M18" s="80">
        <f t="shared" si="0"/>
        <v>40116.057648431117</v>
      </c>
      <c r="N18" s="80">
        <f t="shared" si="0"/>
        <v>36620.782820372289</v>
      </c>
      <c r="O18" s="80">
        <f t="shared" si="0"/>
        <v>33904.256804506011</v>
      </c>
      <c r="P18" s="80">
        <f t="shared" si="0"/>
        <v>31714.52822891514</v>
      </c>
      <c r="Q18" s="80">
        <f t="shared" si="0"/>
        <v>29900.74396373078</v>
      </c>
      <c r="R18" s="80">
        <f t="shared" si="0"/>
        <v>28366.33639767611</v>
      </c>
      <c r="S18" s="80">
        <f t="shared" si="0"/>
        <v>25894.803864645066</v>
      </c>
    </row>
    <row r="22" spans="1:19" x14ac:dyDescent="0.25">
      <c r="B22" s="78"/>
    </row>
    <row r="27" spans="1:19" x14ac:dyDescent="0.25">
      <c r="E27" s="63"/>
      <c r="F27" s="63"/>
      <c r="H27" s="63"/>
      <c r="I27" s="6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13"/>
  <sheetViews>
    <sheetView workbookViewId="0">
      <selection activeCell="B26" sqref="B26"/>
    </sheetView>
  </sheetViews>
  <sheetFormatPr defaultRowHeight="15" x14ac:dyDescent="0.25"/>
  <cols>
    <col min="1" max="1" width="23" bestFit="1" customWidth="1"/>
    <col min="2" max="3" width="13.28515625" bestFit="1" customWidth="1"/>
    <col min="4" max="4" width="13.7109375" bestFit="1" customWidth="1"/>
    <col min="5" max="5" width="7.85546875" bestFit="1" customWidth="1"/>
    <col min="6" max="6" width="9" bestFit="1" customWidth="1"/>
    <col min="7" max="7" width="8.42578125" bestFit="1" customWidth="1"/>
    <col min="8" max="9" width="8" bestFit="1" customWidth="1"/>
    <col min="10" max="10" width="9" bestFit="1" customWidth="1"/>
    <col min="11" max="11" width="8.42578125" bestFit="1" customWidth="1"/>
    <col min="12" max="13" width="8" bestFit="1" customWidth="1"/>
    <col min="14" max="14" width="8.42578125" bestFit="1" customWidth="1"/>
    <col min="15" max="16" width="7" bestFit="1" customWidth="1"/>
    <col min="17" max="17" width="9.42578125" bestFit="1" customWidth="1"/>
    <col min="18" max="18" width="11.85546875" bestFit="1" customWidth="1"/>
    <col min="19" max="19" width="4.28515625" bestFit="1" customWidth="1"/>
    <col min="20" max="20" width="11.5703125" bestFit="1" customWidth="1"/>
    <col min="21" max="21" width="11.140625" bestFit="1" customWidth="1"/>
  </cols>
  <sheetData>
    <row r="2" spans="1:21" x14ac:dyDescent="0.25">
      <c r="A2" s="9" t="s">
        <v>19</v>
      </c>
      <c r="B2" t="s">
        <v>18</v>
      </c>
    </row>
    <row r="3" spans="1:21" x14ac:dyDescent="0.25">
      <c r="A3" s="9" t="s">
        <v>25</v>
      </c>
      <c r="B3" t="s">
        <v>27</v>
      </c>
    </row>
    <row r="4" spans="1:21" x14ac:dyDescent="0.25">
      <c r="A4" s="9" t="s">
        <v>26</v>
      </c>
      <c r="B4" t="s">
        <v>28</v>
      </c>
    </row>
    <row r="5" spans="1:21" x14ac:dyDescent="0.25">
      <c r="A5" s="9" t="s">
        <v>23</v>
      </c>
      <c r="B5" t="s">
        <v>31</v>
      </c>
    </row>
    <row r="6" spans="1:21" x14ac:dyDescent="0.25">
      <c r="A6" s="9" t="s">
        <v>33</v>
      </c>
      <c r="B6" t="s">
        <v>32</v>
      </c>
    </row>
    <row r="7" spans="1:21" x14ac:dyDescent="0.25">
      <c r="A7" s="9" t="s">
        <v>13</v>
      </c>
      <c r="B7" t="s">
        <v>34</v>
      </c>
    </row>
    <row r="8" spans="1:21" x14ac:dyDescent="0.25">
      <c r="A8" s="9" t="s">
        <v>37</v>
      </c>
      <c r="B8" t="s">
        <v>36</v>
      </c>
    </row>
    <row r="9" spans="1:21" x14ac:dyDescent="0.25">
      <c r="A9" s="9" t="s">
        <v>39</v>
      </c>
      <c r="B9" t="s">
        <v>38</v>
      </c>
    </row>
    <row r="10" spans="1:21" x14ac:dyDescent="0.25">
      <c r="A10" s="9" t="s">
        <v>24</v>
      </c>
      <c r="B10" t="s">
        <v>40</v>
      </c>
    </row>
    <row r="12" spans="1:21" ht="26.25" x14ac:dyDescent="0.25">
      <c r="A12" s="35" t="s">
        <v>20</v>
      </c>
      <c r="B12" s="35" t="s">
        <v>15</v>
      </c>
      <c r="C12" s="36" t="s">
        <v>132</v>
      </c>
      <c r="D12" s="36" t="s">
        <v>131</v>
      </c>
      <c r="E12" s="37" t="s">
        <v>21</v>
      </c>
      <c r="F12" s="37" t="s">
        <v>95</v>
      </c>
      <c r="G12" s="37" t="s">
        <v>96</v>
      </c>
      <c r="H12" s="37" t="s">
        <v>93</v>
      </c>
      <c r="I12" s="37" t="s">
        <v>97</v>
      </c>
      <c r="J12" s="37" t="s">
        <v>129</v>
      </c>
      <c r="K12" s="37" t="s">
        <v>130</v>
      </c>
      <c r="L12" s="37" t="s">
        <v>94</v>
      </c>
      <c r="M12" s="37" t="s">
        <v>98</v>
      </c>
      <c r="N12" s="37" t="s">
        <v>99</v>
      </c>
      <c r="O12" s="37" t="s">
        <v>92</v>
      </c>
      <c r="P12" s="37" t="s">
        <v>41</v>
      </c>
      <c r="Q12" s="37" t="s">
        <v>35</v>
      </c>
      <c r="R12" s="37" t="s">
        <v>22</v>
      </c>
      <c r="S12" s="37" t="s">
        <v>31</v>
      </c>
      <c r="T12" s="37" t="s">
        <v>30</v>
      </c>
      <c r="U12" s="37" t="s">
        <v>29</v>
      </c>
    </row>
    <row r="13" spans="1:21" x14ac:dyDescent="0.25">
      <c r="A13" s="17" t="s">
        <v>63</v>
      </c>
      <c r="B13" s="17" t="s">
        <v>53</v>
      </c>
      <c r="C13" s="17" t="s">
        <v>136</v>
      </c>
      <c r="D13" s="17" t="s">
        <v>84</v>
      </c>
      <c r="E13" s="17">
        <v>85</v>
      </c>
      <c r="F13" s="17">
        <v>8</v>
      </c>
      <c r="G13" s="17">
        <v>7</v>
      </c>
      <c r="H13" s="20">
        <f>1.3*(F13*G13)^0.625/(F13+G13)^0.25</f>
        <v>8.1759467534833039</v>
      </c>
      <c r="I13" s="20">
        <f>IF(B13="Round",PI()*(H13/2)^2,F13*G13)</f>
        <v>52.500808345297152</v>
      </c>
      <c r="J13" s="17">
        <v>8</v>
      </c>
      <c r="K13" s="17">
        <v>7</v>
      </c>
      <c r="L13" s="34">
        <f>1.3*(J13*K13)^0.625/(J13+K13)^0.25</f>
        <v>8.1759467534833039</v>
      </c>
      <c r="M13" s="34">
        <f>IF(B13="Round",PI()*(L13/2)^2,J13*K13)</f>
        <v>52.500808345297152</v>
      </c>
      <c r="N13" s="17">
        <f>I13/M13</f>
        <v>1</v>
      </c>
      <c r="O13" s="20">
        <f>G13/F13</f>
        <v>0.875</v>
      </c>
      <c r="P13" s="17">
        <v>500</v>
      </c>
      <c r="Q13" s="18">
        <f>E13*144/(IF(G13=0,(3.14*(F13^2)/4),(F13*G13)))</f>
        <v>218.57142857142858</v>
      </c>
      <c r="R13" s="19">
        <f>0.075*((Q13/1097)^2)</f>
        <v>2.9773835861969062E-3</v>
      </c>
      <c r="S13" s="6"/>
      <c r="T13" s="19">
        <f>(0.0000000039)*POWER(Q13,2.43)*100/POWER(E13,0.61)</f>
        <v>1.2569876247110227E-2</v>
      </c>
      <c r="U13" s="19">
        <f>IF(P13=0,(R13*S13),(P13*T13/100))</f>
        <v>6.284938123555113E-2</v>
      </c>
    </row>
  </sheetData>
  <conditionalFormatting sqref="C13">
    <cfRule type="expression" dxfId="37" priority="6">
      <formula>ISNUMBER(SEARCH("Transition",A13))=FALSE</formula>
    </cfRule>
  </conditionalFormatting>
  <conditionalFormatting sqref="J13">
    <cfRule type="expression" dxfId="36" priority="5">
      <formula>ISNUMBER(SEARCH("Transition",A13))=FALSE</formula>
    </cfRule>
  </conditionalFormatting>
  <conditionalFormatting sqref="K13">
    <cfRule type="expression" dxfId="35" priority="4">
      <formula>ISNUMBER(SEARCH("Transition",A13))=FALSE</formula>
    </cfRule>
  </conditionalFormatting>
  <conditionalFormatting sqref="L13">
    <cfRule type="expression" dxfId="34" priority="3">
      <formula>ISNUMBER(SEARCH("Transition",A13))=FALSE</formula>
    </cfRule>
  </conditionalFormatting>
  <conditionalFormatting sqref="M13">
    <cfRule type="expression" dxfId="33" priority="2">
      <formula>ISNUMBER(SEARCH("Transition",A13))=FALSE</formula>
    </cfRule>
  </conditionalFormatting>
  <conditionalFormatting sqref="N13">
    <cfRule type="expression" dxfId="32" priority="1">
      <formula>ISNUMBER(SEARCH("Transition",A13))=FALSE</formula>
    </cfRule>
  </conditionalFormatting>
  <dataValidations count="4">
    <dataValidation type="list" allowBlank="1" showInputMessage="1" showErrorMessage="1" sqref="A13">
      <formula1>"Damper, Elbow, Fire Damper, Length, Transition"</formula1>
    </dataValidation>
    <dataValidation type="list" allowBlank="1" showInputMessage="1" showErrorMessage="1" sqref="B13">
      <formula1>"Round, Rectangular"</formula1>
    </dataValidation>
    <dataValidation type="list" allowBlank="1" showInputMessage="1" showErrorMessage="1" sqref="C13">
      <formula1>"15°, 30°, 45°, 90°"</formula1>
    </dataValidation>
    <dataValidation type="list" allowBlank="1" showInputMessage="1" showErrorMessage="1" sqref="D13">
      <formula1>UNIQUE_FITTING_NO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7"/>
  <sheetViews>
    <sheetView workbookViewId="0">
      <selection activeCell="L14" sqref="L14"/>
    </sheetView>
  </sheetViews>
  <sheetFormatPr defaultRowHeight="15" x14ac:dyDescent="0.25"/>
  <cols>
    <col min="1" max="1" width="14" bestFit="1" customWidth="1"/>
    <col min="2" max="2" width="19" customWidth="1"/>
    <col min="3" max="3" width="63.5703125" bestFit="1" customWidth="1"/>
    <col min="4" max="4" width="25.85546875" style="12" customWidth="1"/>
    <col min="5" max="5" width="8.28515625" style="13" customWidth="1"/>
    <col min="6" max="9" width="7.7109375" style="13" customWidth="1"/>
    <col min="12" max="12" width="10.140625" bestFit="1" customWidth="1"/>
  </cols>
  <sheetData>
    <row r="1" spans="1:12" s="14" customFormat="1" x14ac:dyDescent="0.25">
      <c r="A1" s="14" t="s">
        <v>62</v>
      </c>
      <c r="B1" s="14" t="s">
        <v>56</v>
      </c>
      <c r="C1" s="14" t="s">
        <v>58</v>
      </c>
      <c r="D1" s="15" t="s">
        <v>78</v>
      </c>
      <c r="E1" s="16" t="s">
        <v>100</v>
      </c>
      <c r="F1" s="16" t="s">
        <v>101</v>
      </c>
      <c r="G1" s="16" t="s">
        <v>102</v>
      </c>
      <c r="H1" s="16" t="s">
        <v>103</v>
      </c>
      <c r="I1" s="16" t="s">
        <v>104</v>
      </c>
      <c r="J1" s="16" t="s">
        <v>137</v>
      </c>
      <c r="L1" s="14" t="s">
        <v>138</v>
      </c>
    </row>
    <row r="2" spans="1:12" x14ac:dyDescent="0.25">
      <c r="A2" t="s">
        <v>83</v>
      </c>
      <c r="B2" t="s">
        <v>84</v>
      </c>
      <c r="C2" t="s">
        <v>85</v>
      </c>
      <c r="E2" s="13">
        <v>0.3</v>
      </c>
      <c r="J2" s="13" t="str">
        <f>Table2[[#This Row],[ASHRAE FITTING '#]]&amp;".jpg"</f>
        <v>CR9-1.jpg</v>
      </c>
      <c r="L2" t="str">
        <f t="array" aca="1" ref="L2" ca="1">IFERROR(INDEX(FITTING_NO, MATCH(0,COUNTIF($L$1:L1, $B$2:$B$97), 0)),"")</f>
        <v>CR9-1</v>
      </c>
    </row>
    <row r="3" spans="1:12" x14ac:dyDescent="0.25">
      <c r="A3" t="s">
        <v>83</v>
      </c>
      <c r="B3" t="s">
        <v>86</v>
      </c>
      <c r="C3" t="s">
        <v>87</v>
      </c>
      <c r="E3" s="13">
        <v>0.37</v>
      </c>
      <c r="J3" s="13" t="str">
        <f>Table2[[#This Row],[ASHRAE FITTING '#]]&amp;".jpg"</f>
        <v>CR9-3.jpg</v>
      </c>
      <c r="L3" t="str">
        <f t="array" aca="1" ref="L3" ca="1">IFERROR(INDEX(FITTING_NO, MATCH(0,COUNTIF($L$1:L2, $B$2:$B$97), 0)),"")</f>
        <v>CR9-3</v>
      </c>
    </row>
    <row r="4" spans="1:12" x14ac:dyDescent="0.25">
      <c r="A4" t="s">
        <v>83</v>
      </c>
      <c r="B4" t="s">
        <v>88</v>
      </c>
      <c r="C4" t="s">
        <v>89</v>
      </c>
      <c r="E4" s="13">
        <v>0.18</v>
      </c>
      <c r="J4" s="13" t="str">
        <f>Table2[[#This Row],[ASHRAE FITTING '#]]&amp;".jpg"</f>
        <v>CR9-4.jpg</v>
      </c>
      <c r="L4" t="str">
        <f t="array" aca="1" ref="L4" ca="1">IFERROR(INDEX(FITTING_NO, MATCH(0,COUNTIF($L$1:L3, $B$2:$B$97), 0)),"")</f>
        <v>CR9-4</v>
      </c>
    </row>
    <row r="5" spans="1:12" x14ac:dyDescent="0.25">
      <c r="A5" t="s">
        <v>83</v>
      </c>
      <c r="B5" t="s">
        <v>90</v>
      </c>
      <c r="C5" t="s">
        <v>91</v>
      </c>
      <c r="E5" s="13">
        <v>0.19</v>
      </c>
      <c r="J5" s="13" t="str">
        <f>Table2[[#This Row],[ASHRAE FITTING '#]]&amp;".jpg"</f>
        <v>CF9-6.jpg</v>
      </c>
      <c r="L5" t="str">
        <f t="array" aca="1" ref="L5" ca="1">IFERROR(INDEX(FITTING_NO, MATCH(0,COUNTIF($L$1:L4, $B$2:$B$97), 0)),"")</f>
        <v>CF9-6</v>
      </c>
    </row>
    <row r="6" spans="1:12" x14ac:dyDescent="0.25">
      <c r="A6" t="s">
        <v>63</v>
      </c>
      <c r="B6" t="s">
        <v>57</v>
      </c>
      <c r="C6" t="s">
        <v>60</v>
      </c>
      <c r="D6" s="12">
        <v>3</v>
      </c>
      <c r="E6" s="13">
        <v>0.3</v>
      </c>
      <c r="J6" s="13" t="str">
        <f>Table2[[#This Row],[ASHRAE FITTING '#]]&amp;".jpg"</f>
        <v>CD3-1.jpg</v>
      </c>
      <c r="L6" t="str">
        <f t="array" aca="1" ref="L6" ca="1">IFERROR(INDEX(FITTING_NO, MATCH(0,COUNTIF($L$1:L5, $B$2:$B$97), 0)),"")</f>
        <v>CD3-1</v>
      </c>
    </row>
    <row r="7" spans="1:12" x14ac:dyDescent="0.25">
      <c r="A7" t="s">
        <v>63</v>
      </c>
      <c r="B7" t="s">
        <v>57</v>
      </c>
      <c r="C7" t="s">
        <v>60</v>
      </c>
      <c r="D7" s="12">
        <v>4</v>
      </c>
      <c r="E7" s="13">
        <v>0.21</v>
      </c>
      <c r="J7" s="13" t="str">
        <f>Table2[[#This Row],[ASHRAE FITTING '#]]&amp;".jpg"</f>
        <v>CD3-1.jpg</v>
      </c>
      <c r="L7" t="str">
        <f t="array" aca="1" ref="L7" ca="1">IFERROR(INDEX(FITTING_NO, MATCH(0,COUNTIF($L$1:L6, $B$2:$B$97), 0)),"")</f>
        <v>CD3-3</v>
      </c>
    </row>
    <row r="8" spans="1:12" x14ac:dyDescent="0.25">
      <c r="A8" t="s">
        <v>63</v>
      </c>
      <c r="B8" t="s">
        <v>57</v>
      </c>
      <c r="C8" t="s">
        <v>60</v>
      </c>
      <c r="D8" s="12">
        <v>5</v>
      </c>
      <c r="E8" s="13">
        <v>0.16</v>
      </c>
      <c r="J8" s="13" t="str">
        <f>Table2[[#This Row],[ASHRAE FITTING '#]]&amp;".jpg"</f>
        <v>CD3-1.jpg</v>
      </c>
      <c r="L8" t="str">
        <f t="array" aca="1" ref="L8" ca="1">IFERROR(INDEX(FITTING_NO, MATCH(0,COUNTIF($L$1:L7, $B$2:$B$97), 0)),"")</f>
        <v>CR3-1</v>
      </c>
    </row>
    <row r="9" spans="1:12" x14ac:dyDescent="0.25">
      <c r="A9" t="s">
        <v>63</v>
      </c>
      <c r="B9" t="s">
        <v>57</v>
      </c>
      <c r="C9" t="s">
        <v>60</v>
      </c>
      <c r="D9" s="12">
        <v>6</v>
      </c>
      <c r="E9" s="13">
        <v>0.14000000000000001</v>
      </c>
      <c r="J9" s="13" t="str">
        <f>Table2[[#This Row],[ASHRAE FITTING '#]]&amp;".jpg"</f>
        <v>CD3-1.jpg</v>
      </c>
      <c r="L9" t="str">
        <f t="array" aca="1" ref="L9" ca="1">IFERROR(INDEX(FITTING_NO, MATCH(0,COUNTIF($L$1:L8, $B$2:$B$97), 0)),"")</f>
        <v>CR3-15</v>
      </c>
    </row>
    <row r="10" spans="1:12" x14ac:dyDescent="0.25">
      <c r="A10" t="s">
        <v>63</v>
      </c>
      <c r="B10" t="s">
        <v>57</v>
      </c>
      <c r="C10" t="s">
        <v>60</v>
      </c>
      <c r="D10" s="12">
        <v>7</v>
      </c>
      <c r="E10" s="13">
        <v>0.12</v>
      </c>
      <c r="J10" s="13" t="str">
        <f>Table2[[#This Row],[ASHRAE FITTING '#]]&amp;".jpg"</f>
        <v>CD3-1.jpg</v>
      </c>
      <c r="L10" t="str">
        <f t="array" aca="1" ref="L10" ca="1">IFERROR(INDEX(FITTING_NO, MATCH(0,COUNTIF($L$1:L9, $B$2:$B$97), 0)),"")</f>
        <v>CD9-3</v>
      </c>
    </row>
    <row r="11" spans="1:12" x14ac:dyDescent="0.25">
      <c r="A11" t="s">
        <v>63</v>
      </c>
      <c r="B11" t="s">
        <v>57</v>
      </c>
      <c r="C11" t="s">
        <v>60</v>
      </c>
      <c r="D11" s="12">
        <v>8</v>
      </c>
      <c r="E11" s="13">
        <v>0.11</v>
      </c>
      <c r="J11" s="13" t="str">
        <f>Table2[[#This Row],[ASHRAE FITTING '#]]&amp;".jpg"</f>
        <v>CD3-1.jpg</v>
      </c>
      <c r="L11" t="str">
        <f t="array" aca="1" ref="L11" ca="1">IFERROR(INDEX(FITTING_NO, MATCH(0,COUNTIF($L$1:L10, $B$2:$B$97), 0)),"")</f>
        <v>ED4-1</v>
      </c>
    </row>
    <row r="12" spans="1:12" x14ac:dyDescent="0.25">
      <c r="A12" t="s">
        <v>63</v>
      </c>
      <c r="B12" t="s">
        <v>57</v>
      </c>
      <c r="C12" t="s">
        <v>60</v>
      </c>
      <c r="D12" s="12">
        <v>9</v>
      </c>
      <c r="E12" s="13">
        <v>0.11</v>
      </c>
      <c r="J12" s="13" t="str">
        <f>Table2[[#This Row],[ASHRAE FITTING '#]]&amp;".jpg"</f>
        <v>CD3-1.jpg</v>
      </c>
      <c r="L12" t="str">
        <f t="array" aca="1" ref="L12" ca="1">IFERROR(INDEX(FITTING_NO, MATCH(0,COUNTIF($L$1:L11, $B$2:$B$97), 0)),"")</f>
        <v>ED4-2</v>
      </c>
    </row>
    <row r="13" spans="1:12" x14ac:dyDescent="0.25">
      <c r="A13" t="s">
        <v>63</v>
      </c>
      <c r="B13" t="s">
        <v>57</v>
      </c>
      <c r="C13" t="s">
        <v>60</v>
      </c>
      <c r="D13" s="12">
        <v>10</v>
      </c>
      <c r="E13" s="13">
        <v>0.11</v>
      </c>
      <c r="J13" s="13" t="str">
        <f>Table2[[#This Row],[ASHRAE FITTING '#]]&amp;".jpg"</f>
        <v>CD3-1.jpg</v>
      </c>
      <c r="L13" t="str">
        <f t="array" aca="1" ref="L13" ca="1">IFERROR(INDEX(FITTING_NO, MATCH(0,COUNTIF($L$1:L12, $B$2:$B$97), 0)),"")</f>
        <v>SD4-1</v>
      </c>
    </row>
    <row r="14" spans="1:12" x14ac:dyDescent="0.25">
      <c r="A14" t="s">
        <v>63</v>
      </c>
      <c r="B14" t="s">
        <v>59</v>
      </c>
      <c r="C14" t="s">
        <v>61</v>
      </c>
      <c r="D14" s="12">
        <v>3</v>
      </c>
      <c r="E14" s="13">
        <v>0.18</v>
      </c>
      <c r="J14" s="13" t="str">
        <f>Table2[[#This Row],[ASHRAE FITTING '#]]&amp;".jpg"</f>
        <v>CD3-3.jpg</v>
      </c>
      <c r="L14" t="str">
        <f t="array" aca="1" ref="L14" ca="1">IFERROR(INDEX(FITTING_NO, MATCH(0,COUNTIF($L$1:L13, $B$2:$B$97), 0)),"")</f>
        <v>SD4-2</v>
      </c>
    </row>
    <row r="15" spans="1:12" x14ac:dyDescent="0.25">
      <c r="A15" t="s">
        <v>63</v>
      </c>
      <c r="B15" t="s">
        <v>59</v>
      </c>
      <c r="C15" t="s">
        <v>61</v>
      </c>
      <c r="D15" s="12">
        <v>4</v>
      </c>
      <c r="E15" s="13">
        <v>0.13</v>
      </c>
      <c r="J15" s="13" t="str">
        <f>Table2[[#This Row],[ASHRAE FITTING '#]]&amp;".jpg"</f>
        <v>CD3-3.jpg</v>
      </c>
    </row>
    <row r="16" spans="1:12" x14ac:dyDescent="0.25">
      <c r="A16" t="s">
        <v>63</v>
      </c>
      <c r="B16" t="s">
        <v>59</v>
      </c>
      <c r="C16" t="s">
        <v>61</v>
      </c>
      <c r="D16" s="12">
        <v>5</v>
      </c>
      <c r="E16" s="13">
        <v>0.1</v>
      </c>
      <c r="J16" s="13" t="str">
        <f>Table2[[#This Row],[ASHRAE FITTING '#]]&amp;".jpg"</f>
        <v>CD3-3.jpg</v>
      </c>
    </row>
    <row r="17" spans="1:10" x14ac:dyDescent="0.25">
      <c r="A17" t="s">
        <v>63</v>
      </c>
      <c r="B17" t="s">
        <v>59</v>
      </c>
      <c r="C17" t="s">
        <v>61</v>
      </c>
      <c r="D17" s="12">
        <v>6</v>
      </c>
      <c r="E17" s="13">
        <v>0.08</v>
      </c>
      <c r="J17" s="13" t="str">
        <f>Table2[[#This Row],[ASHRAE FITTING '#]]&amp;".jpg"</f>
        <v>CD3-3.jpg</v>
      </c>
    </row>
    <row r="18" spans="1:10" x14ac:dyDescent="0.25">
      <c r="A18" t="s">
        <v>63</v>
      </c>
      <c r="B18" t="s">
        <v>59</v>
      </c>
      <c r="C18" t="s">
        <v>61</v>
      </c>
      <c r="D18" s="12">
        <v>7</v>
      </c>
      <c r="E18" s="13">
        <v>7.0000000000000007E-2</v>
      </c>
      <c r="J18" s="13" t="str">
        <f>Table2[[#This Row],[ASHRAE FITTING '#]]&amp;".jpg"</f>
        <v>CD3-3.jpg</v>
      </c>
    </row>
    <row r="19" spans="1:10" x14ac:dyDescent="0.25">
      <c r="A19" t="s">
        <v>63</v>
      </c>
      <c r="B19" t="s">
        <v>59</v>
      </c>
      <c r="C19" t="s">
        <v>61</v>
      </c>
      <c r="D19" s="12">
        <v>8</v>
      </c>
      <c r="E19" s="13">
        <v>7.0000000000000007E-2</v>
      </c>
      <c r="J19" s="13" t="str">
        <f>Table2[[#This Row],[ASHRAE FITTING '#]]&amp;".jpg"</f>
        <v>CD3-3.jpg</v>
      </c>
    </row>
    <row r="20" spans="1:10" x14ac:dyDescent="0.25">
      <c r="A20" t="s">
        <v>63</v>
      </c>
      <c r="B20" t="s">
        <v>59</v>
      </c>
      <c r="C20" t="s">
        <v>61</v>
      </c>
      <c r="D20" s="12">
        <v>9</v>
      </c>
      <c r="E20" s="13">
        <v>7.0000000000000007E-2</v>
      </c>
      <c r="J20" s="13" t="str">
        <f>Table2[[#This Row],[ASHRAE FITTING '#]]&amp;".jpg"</f>
        <v>CD3-3.jpg</v>
      </c>
    </row>
    <row r="21" spans="1:10" x14ac:dyDescent="0.25">
      <c r="A21" t="s">
        <v>63</v>
      </c>
      <c r="B21" t="s">
        <v>59</v>
      </c>
      <c r="C21" t="s">
        <v>61</v>
      </c>
      <c r="D21" s="12">
        <v>10</v>
      </c>
      <c r="E21" s="13">
        <v>7.0000000000000007E-2</v>
      </c>
      <c r="J21" s="13" t="str">
        <f>Table2[[#This Row],[ASHRAE FITTING '#]]&amp;".jpg"</f>
        <v>CD3-3.jpg</v>
      </c>
    </row>
    <row r="22" spans="1:10" x14ac:dyDescent="0.25">
      <c r="A22" t="s">
        <v>63</v>
      </c>
      <c r="B22" t="s">
        <v>77</v>
      </c>
      <c r="C22" t="s">
        <v>79</v>
      </c>
      <c r="D22" s="12">
        <v>0.25</v>
      </c>
      <c r="E22" s="13">
        <f>0.6*0.22</f>
        <v>0.13200000000000001</v>
      </c>
      <c r="J22" s="13" t="str">
        <f>Table2[[#This Row],[ASHRAE FITTING '#]]&amp;".jpg"</f>
        <v>CR3-1.jpg</v>
      </c>
    </row>
    <row r="23" spans="1:10" x14ac:dyDescent="0.25">
      <c r="A23" t="s">
        <v>63</v>
      </c>
      <c r="B23" t="s">
        <v>77</v>
      </c>
      <c r="C23" t="s">
        <v>79</v>
      </c>
      <c r="D23" s="12">
        <v>0.5</v>
      </c>
      <c r="E23" s="13">
        <f>0.6*0.2</f>
        <v>0.12</v>
      </c>
      <c r="J23" s="13" t="str">
        <f>Table2[[#This Row],[ASHRAE FITTING '#]]&amp;".jpg"</f>
        <v>CR3-1.jpg</v>
      </c>
    </row>
    <row r="24" spans="1:10" x14ac:dyDescent="0.25">
      <c r="A24" t="s">
        <v>63</v>
      </c>
      <c r="B24" t="s">
        <v>77</v>
      </c>
      <c r="C24" t="s">
        <v>79</v>
      </c>
      <c r="D24" s="12">
        <v>0.75</v>
      </c>
      <c r="E24" s="13">
        <f>0.6*0.19</f>
        <v>0.11399999999999999</v>
      </c>
      <c r="J24" s="13" t="str">
        <f>Table2[[#This Row],[ASHRAE FITTING '#]]&amp;".jpg"</f>
        <v>CR3-1.jpg</v>
      </c>
    </row>
    <row r="25" spans="1:10" x14ac:dyDescent="0.25">
      <c r="A25" t="s">
        <v>63</v>
      </c>
      <c r="B25" t="s">
        <v>77</v>
      </c>
      <c r="C25" t="s">
        <v>79</v>
      </c>
      <c r="D25" s="12">
        <v>1</v>
      </c>
      <c r="E25" s="13">
        <f>0.6*0.17</f>
        <v>0.10200000000000001</v>
      </c>
      <c r="J25" s="13" t="str">
        <f>Table2[[#This Row],[ASHRAE FITTING '#]]&amp;".jpg"</f>
        <v>CR3-1.jpg</v>
      </c>
    </row>
    <row r="26" spans="1:10" x14ac:dyDescent="0.25">
      <c r="A26" t="s">
        <v>63</v>
      </c>
      <c r="B26" t="s">
        <v>77</v>
      </c>
      <c r="C26" t="s">
        <v>79</v>
      </c>
      <c r="D26" s="12">
        <v>1.5</v>
      </c>
      <c r="E26" s="13">
        <f>0.6*0.15</f>
        <v>0.09</v>
      </c>
      <c r="J26" s="13" t="str">
        <f>Table2[[#This Row],[ASHRAE FITTING '#]]&amp;".jpg"</f>
        <v>CR3-1.jpg</v>
      </c>
    </row>
    <row r="27" spans="1:10" x14ac:dyDescent="0.25">
      <c r="A27" t="s">
        <v>63</v>
      </c>
      <c r="B27" t="s">
        <v>77</v>
      </c>
      <c r="C27" t="s">
        <v>79</v>
      </c>
      <c r="D27" s="12">
        <v>2</v>
      </c>
      <c r="E27" s="13">
        <f>0.6*0.14</f>
        <v>8.4000000000000005E-2</v>
      </c>
      <c r="J27" s="13" t="str">
        <f>Table2[[#This Row],[ASHRAE FITTING '#]]&amp;".jpg"</f>
        <v>CR3-1.jpg</v>
      </c>
    </row>
    <row r="28" spans="1:10" x14ac:dyDescent="0.25">
      <c r="A28" t="s">
        <v>63</v>
      </c>
      <c r="B28" t="s">
        <v>77</v>
      </c>
      <c r="C28" t="s">
        <v>79</v>
      </c>
      <c r="D28" s="12">
        <v>3</v>
      </c>
      <c r="E28" s="13">
        <f>0.6*0.14</f>
        <v>8.4000000000000005E-2</v>
      </c>
      <c r="J28" s="13" t="str">
        <f>Table2[[#This Row],[ASHRAE FITTING '#]]&amp;".jpg"</f>
        <v>CR3-1.jpg</v>
      </c>
    </row>
    <row r="29" spans="1:10" x14ac:dyDescent="0.25">
      <c r="A29" t="s">
        <v>63</v>
      </c>
      <c r="B29" t="s">
        <v>77</v>
      </c>
      <c r="C29" t="s">
        <v>79</v>
      </c>
      <c r="D29" s="12">
        <v>4</v>
      </c>
      <c r="E29" s="13">
        <f>0.6*0.15</f>
        <v>0.09</v>
      </c>
      <c r="J29" s="13" t="str">
        <f>Table2[[#This Row],[ASHRAE FITTING '#]]&amp;".jpg"</f>
        <v>CR3-1.jpg</v>
      </c>
    </row>
    <row r="30" spans="1:10" x14ac:dyDescent="0.25">
      <c r="A30" t="s">
        <v>63</v>
      </c>
      <c r="B30" t="s">
        <v>77</v>
      </c>
      <c r="C30" t="s">
        <v>79</v>
      </c>
      <c r="D30" s="12">
        <v>5</v>
      </c>
      <c r="E30" s="13">
        <f>0.6*0.16</f>
        <v>9.6000000000000002E-2</v>
      </c>
      <c r="J30" s="13" t="str">
        <f>Table2[[#This Row],[ASHRAE FITTING '#]]&amp;".jpg"</f>
        <v>CR3-1.jpg</v>
      </c>
    </row>
    <row r="31" spans="1:10" x14ac:dyDescent="0.25">
      <c r="A31" t="s">
        <v>63</v>
      </c>
      <c r="B31" t="s">
        <v>77</v>
      </c>
      <c r="C31" t="s">
        <v>79</v>
      </c>
      <c r="D31" s="12">
        <v>6</v>
      </c>
      <c r="E31" s="13">
        <f>0.6*0.17</f>
        <v>0.10200000000000001</v>
      </c>
      <c r="J31" s="13" t="str">
        <f>Table2[[#This Row],[ASHRAE FITTING '#]]&amp;".jpg"</f>
        <v>CR3-1.jpg</v>
      </c>
    </row>
    <row r="32" spans="1:10" x14ac:dyDescent="0.25">
      <c r="A32" t="s">
        <v>63</v>
      </c>
      <c r="B32" t="s">
        <v>77</v>
      </c>
      <c r="C32" t="s">
        <v>79</v>
      </c>
      <c r="D32" s="12">
        <v>8</v>
      </c>
      <c r="E32" s="13">
        <f>0.6*0.17</f>
        <v>0.10200000000000001</v>
      </c>
      <c r="J32" s="13" t="str">
        <f>Table2[[#This Row],[ASHRAE FITTING '#]]&amp;".jpg"</f>
        <v>CR3-1.jpg</v>
      </c>
    </row>
    <row r="33" spans="1:10" x14ac:dyDescent="0.25">
      <c r="A33" t="s">
        <v>63</v>
      </c>
      <c r="B33" t="s">
        <v>77</v>
      </c>
      <c r="C33" t="s">
        <v>80</v>
      </c>
      <c r="D33" s="12">
        <v>0.25</v>
      </c>
      <c r="E33" s="13">
        <f>0.22</f>
        <v>0.22</v>
      </c>
      <c r="J33" s="13" t="str">
        <f>Table2[[#This Row],[ASHRAE FITTING '#]]&amp;".jpg"</f>
        <v>CR3-1.jpg</v>
      </c>
    </row>
    <row r="34" spans="1:10" x14ac:dyDescent="0.25">
      <c r="A34" t="s">
        <v>63</v>
      </c>
      <c r="B34" t="s">
        <v>77</v>
      </c>
      <c r="C34" t="s">
        <v>80</v>
      </c>
      <c r="D34" s="12">
        <v>0.5</v>
      </c>
      <c r="E34" s="13">
        <f>0.2</f>
        <v>0.2</v>
      </c>
      <c r="J34" s="13" t="str">
        <f>Table2[[#This Row],[ASHRAE FITTING '#]]&amp;".jpg"</f>
        <v>CR3-1.jpg</v>
      </c>
    </row>
    <row r="35" spans="1:10" x14ac:dyDescent="0.25">
      <c r="A35" t="s">
        <v>63</v>
      </c>
      <c r="B35" t="s">
        <v>77</v>
      </c>
      <c r="C35" t="s">
        <v>80</v>
      </c>
      <c r="D35" s="12">
        <v>0.75</v>
      </c>
      <c r="E35" s="13">
        <f>0.19</f>
        <v>0.19</v>
      </c>
      <c r="J35" s="13" t="str">
        <f>Table2[[#This Row],[ASHRAE FITTING '#]]&amp;".jpg"</f>
        <v>CR3-1.jpg</v>
      </c>
    </row>
    <row r="36" spans="1:10" x14ac:dyDescent="0.25">
      <c r="A36" t="s">
        <v>63</v>
      </c>
      <c r="B36" t="s">
        <v>77</v>
      </c>
      <c r="C36" t="s">
        <v>80</v>
      </c>
      <c r="D36" s="12">
        <v>1</v>
      </c>
      <c r="E36" s="13">
        <f>0.17</f>
        <v>0.17</v>
      </c>
      <c r="J36" s="13" t="str">
        <f>Table2[[#This Row],[ASHRAE FITTING '#]]&amp;".jpg"</f>
        <v>CR3-1.jpg</v>
      </c>
    </row>
    <row r="37" spans="1:10" x14ac:dyDescent="0.25">
      <c r="A37" t="s">
        <v>63</v>
      </c>
      <c r="B37" t="s">
        <v>77</v>
      </c>
      <c r="C37" t="s">
        <v>80</v>
      </c>
      <c r="D37" s="12">
        <v>1.5</v>
      </c>
      <c r="E37" s="13">
        <f>0.15</f>
        <v>0.15</v>
      </c>
      <c r="J37" s="13" t="str">
        <f>Table2[[#This Row],[ASHRAE FITTING '#]]&amp;".jpg"</f>
        <v>CR3-1.jpg</v>
      </c>
    </row>
    <row r="38" spans="1:10" x14ac:dyDescent="0.25">
      <c r="A38" t="s">
        <v>63</v>
      </c>
      <c r="B38" t="s">
        <v>77</v>
      </c>
      <c r="C38" t="s">
        <v>80</v>
      </c>
      <c r="D38" s="12">
        <v>2</v>
      </c>
      <c r="E38" s="13">
        <f>0.14</f>
        <v>0.14000000000000001</v>
      </c>
      <c r="J38" s="13" t="str">
        <f>Table2[[#This Row],[ASHRAE FITTING '#]]&amp;".jpg"</f>
        <v>CR3-1.jpg</v>
      </c>
    </row>
    <row r="39" spans="1:10" x14ac:dyDescent="0.25">
      <c r="A39" t="s">
        <v>63</v>
      </c>
      <c r="B39" t="s">
        <v>77</v>
      </c>
      <c r="C39" t="s">
        <v>80</v>
      </c>
      <c r="D39" s="12">
        <v>3</v>
      </c>
      <c r="E39" s="13">
        <f>0.14</f>
        <v>0.14000000000000001</v>
      </c>
      <c r="J39" s="13" t="str">
        <f>Table2[[#This Row],[ASHRAE FITTING '#]]&amp;".jpg"</f>
        <v>CR3-1.jpg</v>
      </c>
    </row>
    <row r="40" spans="1:10" x14ac:dyDescent="0.25">
      <c r="A40" t="s">
        <v>63</v>
      </c>
      <c r="B40" t="s">
        <v>77</v>
      </c>
      <c r="C40" t="s">
        <v>80</v>
      </c>
      <c r="D40" s="12">
        <v>4</v>
      </c>
      <c r="E40" s="13">
        <f>0.15</f>
        <v>0.15</v>
      </c>
      <c r="J40" s="13" t="str">
        <f>Table2[[#This Row],[ASHRAE FITTING '#]]&amp;".jpg"</f>
        <v>CR3-1.jpg</v>
      </c>
    </row>
    <row r="41" spans="1:10" x14ac:dyDescent="0.25">
      <c r="A41" t="s">
        <v>63</v>
      </c>
      <c r="B41" t="s">
        <v>77</v>
      </c>
      <c r="C41" t="s">
        <v>80</v>
      </c>
      <c r="D41" s="12">
        <v>5</v>
      </c>
      <c r="E41" s="13">
        <f>0.16</f>
        <v>0.16</v>
      </c>
      <c r="J41" s="13" t="str">
        <f>Table2[[#This Row],[ASHRAE FITTING '#]]&amp;".jpg"</f>
        <v>CR3-1.jpg</v>
      </c>
    </row>
    <row r="42" spans="1:10" x14ac:dyDescent="0.25">
      <c r="A42" t="s">
        <v>63</v>
      </c>
      <c r="B42" t="s">
        <v>77</v>
      </c>
      <c r="C42" t="s">
        <v>80</v>
      </c>
      <c r="D42" s="12">
        <v>6</v>
      </c>
      <c r="E42" s="13">
        <f>0.17</f>
        <v>0.17</v>
      </c>
      <c r="J42" s="13" t="str">
        <f>Table2[[#This Row],[ASHRAE FITTING '#]]&amp;".jpg"</f>
        <v>CR3-1.jpg</v>
      </c>
    </row>
    <row r="43" spans="1:10" x14ac:dyDescent="0.25">
      <c r="A43" t="s">
        <v>63</v>
      </c>
      <c r="B43" t="s">
        <v>77</v>
      </c>
      <c r="C43" t="s">
        <v>80</v>
      </c>
      <c r="D43" s="12">
        <v>8</v>
      </c>
      <c r="E43" s="13">
        <f>0.17</f>
        <v>0.17</v>
      </c>
      <c r="J43" s="13" t="str">
        <f>Table2[[#This Row],[ASHRAE FITTING '#]]&amp;".jpg"</f>
        <v>CR3-1.jpg</v>
      </c>
    </row>
    <row r="44" spans="1:10" x14ac:dyDescent="0.25">
      <c r="A44" t="s">
        <v>63</v>
      </c>
      <c r="B44" t="s">
        <v>81</v>
      </c>
      <c r="C44" t="s">
        <v>82</v>
      </c>
      <c r="E44" s="13">
        <v>0.25</v>
      </c>
      <c r="J44" s="13" t="str">
        <f>Table2[[#This Row],[ASHRAE FITTING '#]]&amp;".jpg"</f>
        <v>CR3-15.jpg</v>
      </c>
    </row>
    <row r="45" spans="1:10" x14ac:dyDescent="0.25">
      <c r="A45" t="s">
        <v>64</v>
      </c>
      <c r="B45" t="s">
        <v>65</v>
      </c>
      <c r="C45" t="s">
        <v>66</v>
      </c>
      <c r="E45" s="13">
        <v>0.12</v>
      </c>
      <c r="J45" s="13" t="str">
        <f>Table2[[#This Row],[ASHRAE FITTING '#]]&amp;".jpg"</f>
        <v>CD9-3.jpg</v>
      </c>
    </row>
    <row r="46" spans="1:10" x14ac:dyDescent="0.25">
      <c r="A46" t="s">
        <v>67</v>
      </c>
      <c r="B46" t="s">
        <v>68</v>
      </c>
      <c r="C46" t="s">
        <v>69</v>
      </c>
      <c r="D46" s="12">
        <v>6.3E-2</v>
      </c>
      <c r="E46" s="13">
        <v>0</v>
      </c>
      <c r="F46" s="13">
        <v>0.28999999999999998</v>
      </c>
      <c r="G46" s="13">
        <v>0.6</v>
      </c>
      <c r="H46" s="13">
        <v>0.84</v>
      </c>
      <c r="I46" s="13">
        <v>0.88</v>
      </c>
      <c r="J46" s="13" t="str">
        <f>Table2[[#This Row],[ASHRAE FITTING '#]]&amp;".jpg"</f>
        <v>ED4-1.jpg</v>
      </c>
    </row>
    <row r="47" spans="1:10" x14ac:dyDescent="0.25">
      <c r="A47" t="s">
        <v>67</v>
      </c>
      <c r="B47" t="s">
        <v>68</v>
      </c>
      <c r="C47" t="s">
        <v>69</v>
      </c>
      <c r="D47" s="12">
        <v>0.1</v>
      </c>
      <c r="E47" s="13">
        <v>0</v>
      </c>
      <c r="F47" s="13">
        <v>0.27</v>
      </c>
      <c r="G47" s="13">
        <v>0.59</v>
      </c>
      <c r="H47" s="13">
        <v>0.76</v>
      </c>
      <c r="I47" s="13">
        <v>0.8</v>
      </c>
      <c r="J47" s="13" t="str">
        <f>Table2[[#This Row],[ASHRAE FITTING '#]]&amp;".jpg"</f>
        <v>ED4-1.jpg</v>
      </c>
    </row>
    <row r="48" spans="1:10" x14ac:dyDescent="0.25">
      <c r="A48" t="s">
        <v>67</v>
      </c>
      <c r="B48" t="s">
        <v>68</v>
      </c>
      <c r="C48" t="s">
        <v>69</v>
      </c>
      <c r="D48" s="12">
        <v>0.16700000000000001</v>
      </c>
      <c r="E48" s="13">
        <v>0</v>
      </c>
      <c r="F48" s="13">
        <v>0.25</v>
      </c>
      <c r="G48" s="13">
        <v>0.48</v>
      </c>
      <c r="H48" s="13">
        <v>0.66</v>
      </c>
      <c r="I48" s="13">
        <v>0.77</v>
      </c>
      <c r="J48" s="13" t="str">
        <f>Table2[[#This Row],[ASHRAE FITTING '#]]&amp;".jpg"</f>
        <v>ED4-1.jpg</v>
      </c>
    </row>
    <row r="49" spans="1:10" x14ac:dyDescent="0.25">
      <c r="A49" t="s">
        <v>67</v>
      </c>
      <c r="B49" t="s">
        <v>68</v>
      </c>
      <c r="C49" t="s">
        <v>69</v>
      </c>
      <c r="D49" s="12">
        <v>0.25</v>
      </c>
      <c r="E49" s="13">
        <v>0</v>
      </c>
      <c r="F49" s="13">
        <v>0.21</v>
      </c>
      <c r="G49" s="13">
        <v>0.46</v>
      </c>
      <c r="H49" s="13">
        <v>0.61</v>
      </c>
      <c r="I49" s="13">
        <v>0.68</v>
      </c>
      <c r="J49" s="13" t="str">
        <f>Table2[[#This Row],[ASHRAE FITTING '#]]&amp;".jpg"</f>
        <v>ED4-1.jpg</v>
      </c>
    </row>
    <row r="50" spans="1:10" x14ac:dyDescent="0.25">
      <c r="A50" t="s">
        <v>67</v>
      </c>
      <c r="B50" t="s">
        <v>68</v>
      </c>
      <c r="C50" t="s">
        <v>69</v>
      </c>
      <c r="D50" s="12">
        <v>0.5</v>
      </c>
      <c r="E50" s="13">
        <v>0</v>
      </c>
      <c r="F50" s="13">
        <v>0.13</v>
      </c>
      <c r="G50" s="13">
        <v>0.32</v>
      </c>
      <c r="H50" s="13">
        <v>0.33</v>
      </c>
      <c r="I50" s="13">
        <v>0.33</v>
      </c>
      <c r="J50" s="13" t="str">
        <f>Table2[[#This Row],[ASHRAE FITTING '#]]&amp;".jpg"</f>
        <v>ED4-1.jpg</v>
      </c>
    </row>
    <row r="51" spans="1:10" x14ac:dyDescent="0.25">
      <c r="A51" t="s">
        <v>67</v>
      </c>
      <c r="B51" t="s">
        <v>68</v>
      </c>
      <c r="C51" t="s">
        <v>69</v>
      </c>
      <c r="D51" s="12">
        <v>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 t="str">
        <f>Table2[[#This Row],[ASHRAE FITTING '#]]&amp;".jpg"</f>
        <v>ED4-1.jpg</v>
      </c>
    </row>
    <row r="52" spans="1:10" x14ac:dyDescent="0.25">
      <c r="A52" t="s">
        <v>67</v>
      </c>
      <c r="B52" t="s">
        <v>68</v>
      </c>
      <c r="C52" t="s">
        <v>69</v>
      </c>
      <c r="D52" s="12">
        <v>2</v>
      </c>
      <c r="E52" s="13">
        <v>0</v>
      </c>
      <c r="F52" s="13">
        <v>0.19</v>
      </c>
      <c r="G52" s="13">
        <v>0.19</v>
      </c>
      <c r="H52" s="13">
        <v>0.23</v>
      </c>
      <c r="I52" s="13">
        <v>0.27</v>
      </c>
      <c r="J52" s="13" t="str">
        <f>Table2[[#This Row],[ASHRAE FITTING '#]]&amp;".jpg"</f>
        <v>ED4-1.jpg</v>
      </c>
    </row>
    <row r="53" spans="1:10" x14ac:dyDescent="0.25">
      <c r="A53" t="s">
        <v>67</v>
      </c>
      <c r="B53" t="s">
        <v>68</v>
      </c>
      <c r="C53" t="s">
        <v>69</v>
      </c>
      <c r="D53" s="12">
        <v>4</v>
      </c>
      <c r="E53" s="13">
        <v>0</v>
      </c>
      <c r="F53" s="13">
        <v>0.7</v>
      </c>
      <c r="G53" s="13">
        <v>0.7</v>
      </c>
      <c r="H53" s="13">
        <v>0.9</v>
      </c>
      <c r="I53" s="13">
        <v>1.0900000000000001</v>
      </c>
      <c r="J53" s="13" t="str">
        <f>Table2[[#This Row],[ASHRAE FITTING '#]]&amp;".jpg"</f>
        <v>ED4-1.jpg</v>
      </c>
    </row>
    <row r="54" spans="1:10" x14ac:dyDescent="0.25">
      <c r="A54" t="s">
        <v>67</v>
      </c>
      <c r="B54" t="s">
        <v>68</v>
      </c>
      <c r="C54" t="s">
        <v>69</v>
      </c>
      <c r="D54" s="12">
        <v>6</v>
      </c>
      <c r="E54" s="13">
        <v>0</v>
      </c>
      <c r="F54" s="13">
        <v>1.58</v>
      </c>
      <c r="G54" s="13">
        <v>1.58</v>
      </c>
      <c r="H54" s="13">
        <v>2.12</v>
      </c>
      <c r="I54" s="13">
        <v>2.66</v>
      </c>
      <c r="J54" s="13" t="str">
        <f>Table2[[#This Row],[ASHRAE FITTING '#]]&amp;".jpg"</f>
        <v>ED4-1.jpg</v>
      </c>
    </row>
    <row r="55" spans="1:10" x14ac:dyDescent="0.25">
      <c r="A55" t="s">
        <v>67</v>
      </c>
      <c r="B55" t="s">
        <v>68</v>
      </c>
      <c r="C55" t="s">
        <v>69</v>
      </c>
      <c r="D55" s="12">
        <v>10</v>
      </c>
      <c r="E55" s="13">
        <v>0</v>
      </c>
      <c r="F55" s="13">
        <v>5</v>
      </c>
      <c r="G55" s="13">
        <v>5</v>
      </c>
      <c r="H55" s="13">
        <v>6.45</v>
      </c>
      <c r="I55" s="13">
        <v>7.9</v>
      </c>
      <c r="J55" s="13" t="str">
        <f>Table2[[#This Row],[ASHRAE FITTING '#]]&amp;".jpg"</f>
        <v>ED4-1.jpg</v>
      </c>
    </row>
    <row r="56" spans="1:10" x14ac:dyDescent="0.25">
      <c r="A56" t="s">
        <v>67</v>
      </c>
      <c r="B56" t="s">
        <v>70</v>
      </c>
      <c r="C56" t="s">
        <v>71</v>
      </c>
      <c r="D56" s="12">
        <v>6.3E-2</v>
      </c>
      <c r="E56" s="13">
        <v>0</v>
      </c>
      <c r="F56" s="13">
        <v>0.46</v>
      </c>
      <c r="G56" s="13">
        <v>0.64</v>
      </c>
      <c r="H56" s="13">
        <v>0.77</v>
      </c>
      <c r="I56" s="13">
        <v>0.88</v>
      </c>
      <c r="J56" s="13" t="str">
        <f>Table2[[#This Row],[ASHRAE FITTING '#]]&amp;".jpg"</f>
        <v>ED4-2.jpg</v>
      </c>
    </row>
    <row r="57" spans="1:10" x14ac:dyDescent="0.25">
      <c r="A57" t="s">
        <v>67</v>
      </c>
      <c r="B57" t="s">
        <v>70</v>
      </c>
      <c r="C57" t="s">
        <v>71</v>
      </c>
      <c r="D57" s="12">
        <v>0.1</v>
      </c>
      <c r="E57" s="13">
        <v>0</v>
      </c>
      <c r="F57" s="13">
        <v>0.45</v>
      </c>
      <c r="G57" s="13">
        <v>0.64</v>
      </c>
      <c r="H57" s="13">
        <v>0.75</v>
      </c>
      <c r="I57" s="13">
        <v>0.84</v>
      </c>
      <c r="J57" s="13" t="str">
        <f>Table2[[#This Row],[ASHRAE FITTING '#]]&amp;".jpg"</f>
        <v>ED4-2.jpg</v>
      </c>
    </row>
    <row r="58" spans="1:10" x14ac:dyDescent="0.25">
      <c r="A58" t="s">
        <v>67</v>
      </c>
      <c r="B58" t="s">
        <v>70</v>
      </c>
      <c r="C58" t="s">
        <v>71</v>
      </c>
      <c r="D58" s="12">
        <v>0.16700000000000001</v>
      </c>
      <c r="E58" s="13">
        <v>0</v>
      </c>
      <c r="F58" s="13">
        <v>0.44</v>
      </c>
      <c r="G58" s="13">
        <v>0.63</v>
      </c>
      <c r="H58" s="13">
        <v>0.72</v>
      </c>
      <c r="I58" s="13">
        <v>0.78</v>
      </c>
      <c r="J58" s="13" t="str">
        <f>Table2[[#This Row],[ASHRAE FITTING '#]]&amp;".jpg"</f>
        <v>ED4-2.jpg</v>
      </c>
    </row>
    <row r="59" spans="1:10" x14ac:dyDescent="0.25">
      <c r="A59" t="s">
        <v>67</v>
      </c>
      <c r="B59" t="s">
        <v>70</v>
      </c>
      <c r="C59" t="s">
        <v>71</v>
      </c>
      <c r="D59" s="12">
        <v>0.25</v>
      </c>
      <c r="E59" s="13">
        <v>0</v>
      </c>
      <c r="F59" s="13">
        <v>0.36</v>
      </c>
      <c r="G59" s="13">
        <v>0.52</v>
      </c>
      <c r="H59" s="13">
        <v>0.57999999999999996</v>
      </c>
      <c r="I59" s="13">
        <v>0.62</v>
      </c>
      <c r="J59" s="13" t="str">
        <f>Table2[[#This Row],[ASHRAE FITTING '#]]&amp;".jpg"</f>
        <v>ED4-2.jpg</v>
      </c>
    </row>
    <row r="60" spans="1:10" x14ac:dyDescent="0.25">
      <c r="A60" t="s">
        <v>67</v>
      </c>
      <c r="B60" t="s">
        <v>70</v>
      </c>
      <c r="C60" t="s">
        <v>71</v>
      </c>
      <c r="D60" s="12">
        <v>0.5</v>
      </c>
      <c r="E60" s="13">
        <v>0</v>
      </c>
      <c r="F60" s="13">
        <v>0.22</v>
      </c>
      <c r="G60" s="13">
        <v>0.3</v>
      </c>
      <c r="H60" s="13">
        <v>0.33</v>
      </c>
      <c r="I60" s="13">
        <v>0.33</v>
      </c>
      <c r="J60" s="13" t="str">
        <f>Table2[[#This Row],[ASHRAE FITTING '#]]&amp;".jpg"</f>
        <v>ED4-2.jpg</v>
      </c>
    </row>
    <row r="61" spans="1:10" x14ac:dyDescent="0.25">
      <c r="A61" t="s">
        <v>67</v>
      </c>
      <c r="B61" t="s">
        <v>70</v>
      </c>
      <c r="C61" t="s">
        <v>71</v>
      </c>
      <c r="D61" s="12">
        <v>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 t="str">
        <f>Table2[[#This Row],[ASHRAE FITTING '#]]&amp;".jpg"</f>
        <v>ED4-2.jpg</v>
      </c>
    </row>
    <row r="62" spans="1:10" x14ac:dyDescent="0.25">
      <c r="A62" t="s">
        <v>67</v>
      </c>
      <c r="B62" t="s">
        <v>70</v>
      </c>
      <c r="C62" t="s">
        <v>71</v>
      </c>
      <c r="D62" s="12">
        <v>2</v>
      </c>
      <c r="E62" s="13">
        <v>0</v>
      </c>
      <c r="F62" s="13">
        <v>0.28000000000000003</v>
      </c>
      <c r="G62" s="13">
        <v>0.19</v>
      </c>
      <c r="H62" s="13">
        <v>0.23</v>
      </c>
      <c r="I62" s="13">
        <v>0.27</v>
      </c>
      <c r="J62" s="13" t="str">
        <f>Table2[[#This Row],[ASHRAE FITTING '#]]&amp;".jpg"</f>
        <v>ED4-2.jpg</v>
      </c>
    </row>
    <row r="63" spans="1:10" x14ac:dyDescent="0.25">
      <c r="A63" t="s">
        <v>67</v>
      </c>
      <c r="B63" t="s">
        <v>70</v>
      </c>
      <c r="C63" t="s">
        <v>71</v>
      </c>
      <c r="D63" s="12">
        <v>4</v>
      </c>
      <c r="E63" s="13">
        <v>0</v>
      </c>
      <c r="F63" s="13">
        <v>0.85</v>
      </c>
      <c r="G63" s="13">
        <v>0.76</v>
      </c>
      <c r="H63" s="13">
        <v>0.9</v>
      </c>
      <c r="I63" s="13">
        <v>1.0900000000000001</v>
      </c>
      <c r="J63" s="13" t="str">
        <f>Table2[[#This Row],[ASHRAE FITTING '#]]&amp;".jpg"</f>
        <v>ED4-2.jpg</v>
      </c>
    </row>
    <row r="64" spans="1:10" x14ac:dyDescent="0.25">
      <c r="A64" t="s">
        <v>67</v>
      </c>
      <c r="B64" t="s">
        <v>70</v>
      </c>
      <c r="C64" t="s">
        <v>71</v>
      </c>
      <c r="D64" s="12">
        <v>6</v>
      </c>
      <c r="E64" s="13">
        <v>0</v>
      </c>
      <c r="F64" s="13">
        <v>1.77</v>
      </c>
      <c r="G64" s="13">
        <v>1.73</v>
      </c>
      <c r="H64" s="13">
        <v>2.1800000000000002</v>
      </c>
      <c r="I64" s="13">
        <v>2.67</v>
      </c>
      <c r="J64" s="13" t="str">
        <f>Table2[[#This Row],[ASHRAE FITTING '#]]&amp;".jpg"</f>
        <v>ED4-2.jpg</v>
      </c>
    </row>
    <row r="65" spans="1:10" x14ac:dyDescent="0.25">
      <c r="A65" t="s">
        <v>67</v>
      </c>
      <c r="B65" t="s">
        <v>70</v>
      </c>
      <c r="C65" t="s">
        <v>71</v>
      </c>
      <c r="D65" s="12">
        <v>10</v>
      </c>
      <c r="E65" s="13">
        <v>0</v>
      </c>
      <c r="F65" s="13">
        <v>5.18</v>
      </c>
      <c r="G65" s="13">
        <v>5.05</v>
      </c>
      <c r="H65" s="13">
        <v>6.44</v>
      </c>
      <c r="I65" s="13">
        <v>7.94</v>
      </c>
      <c r="J65" s="13" t="str">
        <f>Table2[[#This Row],[ASHRAE FITTING '#]]&amp;".jpg"</f>
        <v>ED4-2.jpg</v>
      </c>
    </row>
    <row r="66" spans="1:10" x14ac:dyDescent="0.25">
      <c r="A66" t="s">
        <v>67</v>
      </c>
      <c r="B66" t="s">
        <v>72</v>
      </c>
      <c r="C66" t="s">
        <v>74</v>
      </c>
      <c r="D66" s="12">
        <v>0.1</v>
      </c>
      <c r="E66" s="13">
        <v>0</v>
      </c>
      <c r="F66" s="13">
        <v>0.05</v>
      </c>
      <c r="G66" s="13">
        <v>0.05</v>
      </c>
      <c r="H66" s="13">
        <v>0.06</v>
      </c>
      <c r="I66" s="13">
        <v>0.08</v>
      </c>
      <c r="J66" s="13" t="str">
        <f>Table2[[#This Row],[ASHRAE FITTING '#]]&amp;".jpg"</f>
        <v>SD4-1.jpg</v>
      </c>
    </row>
    <row r="67" spans="1:10" x14ac:dyDescent="0.25">
      <c r="A67" t="s">
        <v>67</v>
      </c>
      <c r="B67" t="s">
        <v>72</v>
      </c>
      <c r="C67" t="s">
        <v>74</v>
      </c>
      <c r="D67" s="12">
        <v>0.16700000000000001</v>
      </c>
      <c r="E67" s="13">
        <v>0</v>
      </c>
      <c r="F67" s="13">
        <v>0.04</v>
      </c>
      <c r="G67" s="13">
        <v>0.04</v>
      </c>
      <c r="H67" s="13">
        <v>0.06</v>
      </c>
      <c r="I67" s="13">
        <v>7.0000000000000007E-2</v>
      </c>
      <c r="J67" s="13" t="str">
        <f>Table2[[#This Row],[ASHRAE FITTING '#]]&amp;".jpg"</f>
        <v>SD4-1.jpg</v>
      </c>
    </row>
    <row r="68" spans="1:10" x14ac:dyDescent="0.25">
      <c r="A68" t="s">
        <v>67</v>
      </c>
      <c r="B68" t="s">
        <v>72</v>
      </c>
      <c r="C68" t="s">
        <v>74</v>
      </c>
      <c r="D68" s="12">
        <v>0.25</v>
      </c>
      <c r="E68" s="13">
        <v>0</v>
      </c>
      <c r="F68" s="13">
        <v>0.04</v>
      </c>
      <c r="G68" s="13">
        <v>0.04</v>
      </c>
      <c r="H68" s="13">
        <v>0.06</v>
      </c>
      <c r="I68" s="13">
        <v>7.0000000000000007E-2</v>
      </c>
      <c r="J68" s="13" t="str">
        <f>Table2[[#This Row],[ASHRAE FITTING '#]]&amp;".jpg"</f>
        <v>SD4-1.jpg</v>
      </c>
    </row>
    <row r="69" spans="1:10" x14ac:dyDescent="0.25">
      <c r="A69" t="s">
        <v>67</v>
      </c>
      <c r="B69" t="s">
        <v>72</v>
      </c>
      <c r="C69" t="s">
        <v>74</v>
      </c>
      <c r="D69" s="12">
        <v>0.39</v>
      </c>
      <c r="E69" s="13">
        <v>0</v>
      </c>
      <c r="F69" s="13">
        <v>0.05</v>
      </c>
      <c r="G69" s="13">
        <v>0.05</v>
      </c>
      <c r="H69" s="13">
        <v>0.06</v>
      </c>
      <c r="I69" s="13">
        <v>0.06</v>
      </c>
      <c r="J69" s="13" t="str">
        <f>Table2[[#This Row],[ASHRAE FITTING '#]]&amp;".jpg"</f>
        <v>SD4-1.jpg</v>
      </c>
    </row>
    <row r="70" spans="1:10" x14ac:dyDescent="0.25">
      <c r="A70" t="s">
        <v>67</v>
      </c>
      <c r="B70" t="s">
        <v>72</v>
      </c>
      <c r="C70" t="s">
        <v>74</v>
      </c>
      <c r="D70" s="12">
        <v>0.5</v>
      </c>
      <c r="E70" s="13">
        <v>0</v>
      </c>
      <c r="F70" s="13">
        <v>0.05</v>
      </c>
      <c r="G70" s="13">
        <v>0.05</v>
      </c>
      <c r="H70" s="13">
        <v>0.06</v>
      </c>
      <c r="I70" s="13">
        <v>7.0000000000000007E-2</v>
      </c>
      <c r="J70" s="13" t="str">
        <f>Table2[[#This Row],[ASHRAE FITTING '#]]&amp;".jpg"</f>
        <v>SD4-1.jpg</v>
      </c>
    </row>
    <row r="71" spans="1:10" x14ac:dyDescent="0.25">
      <c r="A71" t="s">
        <v>67</v>
      </c>
      <c r="B71" t="s">
        <v>72</v>
      </c>
      <c r="C71" t="s">
        <v>74</v>
      </c>
      <c r="D71" s="12">
        <v>0.64</v>
      </c>
      <c r="E71" s="13">
        <v>0</v>
      </c>
      <c r="F71" s="13">
        <v>0.04</v>
      </c>
      <c r="G71" s="13">
        <v>0.04</v>
      </c>
      <c r="H71" s="13">
        <v>0.05</v>
      </c>
      <c r="I71" s="13">
        <v>0.06</v>
      </c>
      <c r="J71" s="13" t="str">
        <f>Table2[[#This Row],[ASHRAE FITTING '#]]&amp;".jpg"</f>
        <v>SD4-1.jpg</v>
      </c>
    </row>
    <row r="72" spans="1:10" x14ac:dyDescent="0.25">
      <c r="A72" t="s">
        <v>67</v>
      </c>
      <c r="B72" t="s">
        <v>72</v>
      </c>
      <c r="C72" t="s">
        <v>74</v>
      </c>
      <c r="D72" s="12">
        <v>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tr">
        <f>Table2[[#This Row],[ASHRAE FITTING '#]]&amp;".jpg"</f>
        <v>SD4-1.jpg</v>
      </c>
    </row>
    <row r="73" spans="1:10" x14ac:dyDescent="0.25">
      <c r="A73" t="s">
        <v>67</v>
      </c>
      <c r="B73" t="s">
        <v>72</v>
      </c>
      <c r="C73" t="s">
        <v>74</v>
      </c>
      <c r="D73" s="12">
        <v>2</v>
      </c>
      <c r="E73" s="13">
        <v>0</v>
      </c>
      <c r="F73" s="13">
        <v>0.52</v>
      </c>
      <c r="G73" s="13">
        <v>1.26</v>
      </c>
      <c r="H73" s="13">
        <v>1.32</v>
      </c>
      <c r="I73" s="13">
        <v>1.3</v>
      </c>
      <c r="J73" s="13" t="str">
        <f>Table2[[#This Row],[ASHRAE FITTING '#]]&amp;".jpg"</f>
        <v>SD4-1.jpg</v>
      </c>
    </row>
    <row r="74" spans="1:10" x14ac:dyDescent="0.25">
      <c r="A74" t="s">
        <v>67</v>
      </c>
      <c r="B74" t="s">
        <v>72</v>
      </c>
      <c r="C74" t="s">
        <v>74</v>
      </c>
      <c r="D74" s="12">
        <v>4</v>
      </c>
      <c r="E74" s="13">
        <v>0</v>
      </c>
      <c r="F74" s="13">
        <v>3.38</v>
      </c>
      <c r="G74" s="13">
        <v>7.38</v>
      </c>
      <c r="H74" s="13">
        <v>9.6999999999999993</v>
      </c>
      <c r="I74" s="13">
        <v>10.88</v>
      </c>
      <c r="J74" s="13" t="str">
        <f>Table2[[#This Row],[ASHRAE FITTING '#]]&amp;".jpg"</f>
        <v>SD4-1.jpg</v>
      </c>
    </row>
    <row r="75" spans="1:10" x14ac:dyDescent="0.25">
      <c r="A75" t="s">
        <v>67</v>
      </c>
      <c r="B75" t="s">
        <v>72</v>
      </c>
      <c r="C75" t="s">
        <v>74</v>
      </c>
      <c r="D75" s="12">
        <v>6</v>
      </c>
      <c r="E75" s="13">
        <v>0</v>
      </c>
      <c r="F75" s="13">
        <v>9.14</v>
      </c>
      <c r="G75" s="13">
        <v>17.350000000000001</v>
      </c>
      <c r="H75" s="13">
        <v>23.58</v>
      </c>
      <c r="I75" s="13">
        <v>27.58</v>
      </c>
      <c r="J75" s="13" t="str">
        <f>Table2[[#This Row],[ASHRAE FITTING '#]]&amp;".jpg"</f>
        <v>SD4-1.jpg</v>
      </c>
    </row>
    <row r="76" spans="1:10" x14ac:dyDescent="0.25">
      <c r="A76" t="s">
        <v>67</v>
      </c>
      <c r="B76" t="s">
        <v>72</v>
      </c>
      <c r="C76" t="s">
        <v>74</v>
      </c>
      <c r="D76" s="12">
        <v>10</v>
      </c>
      <c r="E76" s="13">
        <v>0</v>
      </c>
      <c r="F76" s="13">
        <v>27.3</v>
      </c>
      <c r="G76" s="13">
        <v>58.5</v>
      </c>
      <c r="H76" s="13">
        <v>76</v>
      </c>
      <c r="I76" s="13">
        <v>80</v>
      </c>
      <c r="J76" s="13" t="str">
        <f>Table2[[#This Row],[ASHRAE FITTING '#]]&amp;".jpg"</f>
        <v>SD4-1.jpg</v>
      </c>
    </row>
    <row r="77" spans="1:10" x14ac:dyDescent="0.25">
      <c r="A77" t="s">
        <v>67</v>
      </c>
      <c r="B77" t="s">
        <v>72</v>
      </c>
      <c r="C77" t="s">
        <v>74</v>
      </c>
      <c r="D77" s="12">
        <v>16</v>
      </c>
      <c r="E77" s="13">
        <v>0</v>
      </c>
      <c r="F77" s="13">
        <v>73.73</v>
      </c>
      <c r="G77" s="13">
        <v>153.6</v>
      </c>
      <c r="H77" s="13">
        <v>215.04</v>
      </c>
      <c r="I77" s="13">
        <v>225.28</v>
      </c>
      <c r="J77" s="13" t="str">
        <f>Table2[[#This Row],[ASHRAE FITTING '#]]&amp;".jpg"</f>
        <v>SD4-1.jpg</v>
      </c>
    </row>
    <row r="78" spans="1:10" x14ac:dyDescent="0.25">
      <c r="A78" t="s">
        <v>67</v>
      </c>
      <c r="B78" t="s">
        <v>72</v>
      </c>
      <c r="C78" t="s">
        <v>73</v>
      </c>
      <c r="D78" s="12">
        <v>0.1</v>
      </c>
      <c r="E78" s="13">
        <v>0</v>
      </c>
      <c r="F78" s="13">
        <v>0.05</v>
      </c>
      <c r="G78" s="13">
        <v>0.05</v>
      </c>
      <c r="H78" s="13">
        <v>0.06</v>
      </c>
      <c r="I78" s="13">
        <v>0.08</v>
      </c>
      <c r="J78" s="13" t="str">
        <f>Table2[[#This Row],[ASHRAE FITTING '#]]&amp;".jpg"</f>
        <v>SD4-1.jpg</v>
      </c>
    </row>
    <row r="79" spans="1:10" x14ac:dyDescent="0.25">
      <c r="A79" t="s">
        <v>67</v>
      </c>
      <c r="B79" t="s">
        <v>72</v>
      </c>
      <c r="C79" t="s">
        <v>73</v>
      </c>
      <c r="D79" s="12">
        <v>0.16700000000000001</v>
      </c>
      <c r="E79" s="13">
        <v>0</v>
      </c>
      <c r="F79" s="13">
        <v>0.05</v>
      </c>
      <c r="G79" s="13">
        <v>0.05</v>
      </c>
      <c r="H79" s="13">
        <v>0.06</v>
      </c>
      <c r="I79" s="13">
        <v>7.0000000000000007E-2</v>
      </c>
      <c r="J79" s="13" t="str">
        <f>Table2[[#This Row],[ASHRAE FITTING '#]]&amp;".jpg"</f>
        <v>SD4-1.jpg</v>
      </c>
    </row>
    <row r="80" spans="1:10" x14ac:dyDescent="0.25">
      <c r="A80" t="s">
        <v>67</v>
      </c>
      <c r="B80" t="s">
        <v>72</v>
      </c>
      <c r="C80" t="s">
        <v>73</v>
      </c>
      <c r="D80" s="12">
        <v>0.25</v>
      </c>
      <c r="E80" s="13">
        <v>0</v>
      </c>
      <c r="F80" s="13">
        <v>0.05</v>
      </c>
      <c r="G80" s="13">
        <v>0.05</v>
      </c>
      <c r="H80" s="13">
        <v>0.06</v>
      </c>
      <c r="I80" s="13">
        <v>7.0000000000000007E-2</v>
      </c>
      <c r="J80" s="13" t="str">
        <f>Table2[[#This Row],[ASHRAE FITTING '#]]&amp;".jpg"</f>
        <v>SD4-1.jpg</v>
      </c>
    </row>
    <row r="81" spans="1:10" x14ac:dyDescent="0.25">
      <c r="A81" t="s">
        <v>67</v>
      </c>
      <c r="B81" t="s">
        <v>72</v>
      </c>
      <c r="C81" t="s">
        <v>73</v>
      </c>
      <c r="D81" s="12">
        <v>0.5</v>
      </c>
      <c r="E81" s="13">
        <v>0</v>
      </c>
      <c r="F81" s="13">
        <v>7.0000000000000007E-2</v>
      </c>
      <c r="G81" s="13">
        <v>0.05</v>
      </c>
      <c r="H81" s="13">
        <v>0.06</v>
      </c>
      <c r="I81" s="13">
        <v>7.0000000000000007E-2</v>
      </c>
      <c r="J81" s="13" t="str">
        <f>Table2[[#This Row],[ASHRAE FITTING '#]]&amp;".jpg"</f>
        <v>SD4-1.jpg</v>
      </c>
    </row>
    <row r="82" spans="1:10" x14ac:dyDescent="0.25">
      <c r="A82" t="s">
        <v>67</v>
      </c>
      <c r="B82" t="s">
        <v>72</v>
      </c>
      <c r="C82" t="s">
        <v>73</v>
      </c>
      <c r="D82" s="12">
        <v>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 t="str">
        <f>Table2[[#This Row],[ASHRAE FITTING '#]]&amp;".jpg"</f>
        <v>SD4-1.jpg</v>
      </c>
    </row>
    <row r="83" spans="1:10" x14ac:dyDescent="0.25">
      <c r="A83" t="s">
        <v>67</v>
      </c>
      <c r="B83" t="s">
        <v>72</v>
      </c>
      <c r="C83" t="s">
        <v>73</v>
      </c>
      <c r="D83" s="12">
        <v>2</v>
      </c>
      <c r="E83" s="13">
        <v>0</v>
      </c>
      <c r="F83" s="13">
        <v>0.87</v>
      </c>
      <c r="G83" s="13">
        <v>1.2</v>
      </c>
      <c r="H83" s="13">
        <v>1.3</v>
      </c>
      <c r="I83" s="13">
        <v>1.3</v>
      </c>
      <c r="J83" s="13" t="str">
        <f>Table2[[#This Row],[ASHRAE FITTING '#]]&amp;".jpg"</f>
        <v>SD4-1.jpg</v>
      </c>
    </row>
    <row r="84" spans="1:10" x14ac:dyDescent="0.25">
      <c r="A84" t="s">
        <v>67</v>
      </c>
      <c r="B84" t="s">
        <v>72</v>
      </c>
      <c r="C84" t="s">
        <v>73</v>
      </c>
      <c r="D84" s="12">
        <v>4</v>
      </c>
      <c r="E84" s="13">
        <v>0</v>
      </c>
      <c r="F84" s="13">
        <v>5.72</v>
      </c>
      <c r="G84" s="13">
        <v>8.32</v>
      </c>
      <c r="H84" s="13">
        <v>9.2799999999999994</v>
      </c>
      <c r="I84" s="13">
        <v>9.92</v>
      </c>
      <c r="J84" s="13" t="str">
        <f>Table2[[#This Row],[ASHRAE FITTING '#]]&amp;".jpg"</f>
        <v>SD4-1.jpg</v>
      </c>
    </row>
    <row r="85" spans="1:10" x14ac:dyDescent="0.25">
      <c r="A85" t="s">
        <v>67</v>
      </c>
      <c r="B85" t="s">
        <v>72</v>
      </c>
      <c r="C85" t="s">
        <v>73</v>
      </c>
      <c r="D85" s="12">
        <v>6</v>
      </c>
      <c r="E85" s="13">
        <v>0</v>
      </c>
      <c r="F85" s="13">
        <v>15.84</v>
      </c>
      <c r="G85" s="13">
        <v>22.5</v>
      </c>
      <c r="H85" s="13">
        <v>25.74</v>
      </c>
      <c r="I85" s="13">
        <v>27.9</v>
      </c>
      <c r="J85" s="13" t="str">
        <f>Table2[[#This Row],[ASHRAE FITTING '#]]&amp;".jpg"</f>
        <v>SD4-1.jpg</v>
      </c>
    </row>
    <row r="86" spans="1:10" x14ac:dyDescent="0.25">
      <c r="A86" t="s">
        <v>67</v>
      </c>
      <c r="B86" t="s">
        <v>72</v>
      </c>
      <c r="C86" t="s">
        <v>73</v>
      </c>
      <c r="D86" s="12">
        <v>10</v>
      </c>
      <c r="E86" s="13">
        <v>0</v>
      </c>
      <c r="F86" s="13">
        <v>45</v>
      </c>
      <c r="G86" s="13">
        <v>63.5</v>
      </c>
      <c r="H86" s="13">
        <v>75</v>
      </c>
      <c r="I86" s="13">
        <v>84</v>
      </c>
      <c r="J86" s="13" t="str">
        <f>Table2[[#This Row],[ASHRAE FITTING '#]]&amp;".jpg"</f>
        <v>SD4-1.jpg</v>
      </c>
    </row>
    <row r="87" spans="1:10" x14ac:dyDescent="0.25">
      <c r="A87" t="s">
        <v>67</v>
      </c>
      <c r="B87" t="s">
        <v>72</v>
      </c>
      <c r="C87" t="s">
        <v>73</v>
      </c>
      <c r="D87" s="12">
        <v>16</v>
      </c>
      <c r="E87" s="13">
        <v>0</v>
      </c>
      <c r="F87" s="13">
        <v>116.74</v>
      </c>
      <c r="G87" s="13">
        <v>164.1</v>
      </c>
      <c r="H87" s="13">
        <v>196.86</v>
      </c>
      <c r="I87" s="13">
        <v>224.26</v>
      </c>
      <c r="J87" s="13" t="str">
        <f>Table2[[#This Row],[ASHRAE FITTING '#]]&amp;".jpg"</f>
        <v>SD4-1.jpg</v>
      </c>
    </row>
    <row r="88" spans="1:10" x14ac:dyDescent="0.25">
      <c r="A88" t="s">
        <v>67</v>
      </c>
      <c r="B88" t="s">
        <v>75</v>
      </c>
      <c r="C88" t="s">
        <v>76</v>
      </c>
      <c r="D88" s="12">
        <v>0.1</v>
      </c>
      <c r="E88" s="13">
        <v>0</v>
      </c>
      <c r="F88" s="13">
        <v>0.05</v>
      </c>
      <c r="G88" s="13">
        <v>0.05</v>
      </c>
      <c r="H88" s="13">
        <v>0.06</v>
      </c>
      <c r="I88" s="13">
        <v>0.08</v>
      </c>
      <c r="J88" s="13" t="str">
        <f>Table2[[#This Row],[ASHRAE FITTING '#]]&amp;".jpg"</f>
        <v>SD4-2.jpg</v>
      </c>
    </row>
    <row r="89" spans="1:10" x14ac:dyDescent="0.25">
      <c r="A89" t="s">
        <v>67</v>
      </c>
      <c r="B89" t="s">
        <v>75</v>
      </c>
      <c r="C89" t="s">
        <v>76</v>
      </c>
      <c r="D89" s="12">
        <v>0.16700000000000001</v>
      </c>
      <c r="E89" s="13">
        <v>0</v>
      </c>
      <c r="F89" s="13">
        <v>0.05</v>
      </c>
      <c r="G89" s="13">
        <v>0.05</v>
      </c>
      <c r="H89" s="13">
        <v>0.06</v>
      </c>
      <c r="I89" s="13">
        <v>7.0000000000000007E-2</v>
      </c>
      <c r="J89" s="13" t="str">
        <f>Table2[[#This Row],[ASHRAE FITTING '#]]&amp;".jpg"</f>
        <v>SD4-2.jpg</v>
      </c>
    </row>
    <row r="90" spans="1:10" x14ac:dyDescent="0.25">
      <c r="A90" t="s">
        <v>67</v>
      </c>
      <c r="B90" t="s">
        <v>75</v>
      </c>
      <c r="C90" t="s">
        <v>76</v>
      </c>
      <c r="D90" s="12">
        <v>0.25</v>
      </c>
      <c r="E90" s="13">
        <v>0</v>
      </c>
      <c r="F90" s="13">
        <v>0.05</v>
      </c>
      <c r="G90" s="13">
        <v>0.05</v>
      </c>
      <c r="H90" s="13">
        <v>0.06</v>
      </c>
      <c r="I90" s="13">
        <v>7.0000000000000007E-2</v>
      </c>
      <c r="J90" s="13" t="str">
        <f>Table2[[#This Row],[ASHRAE FITTING '#]]&amp;".jpg"</f>
        <v>SD4-2.jpg</v>
      </c>
    </row>
    <row r="91" spans="1:10" x14ac:dyDescent="0.25">
      <c r="A91" t="s">
        <v>67</v>
      </c>
      <c r="B91" t="s">
        <v>75</v>
      </c>
      <c r="C91" t="s">
        <v>76</v>
      </c>
      <c r="D91" s="12">
        <v>0.5</v>
      </c>
      <c r="E91" s="13">
        <v>0</v>
      </c>
      <c r="F91" s="13">
        <v>7.0000000000000007E-2</v>
      </c>
      <c r="G91" s="13">
        <v>0.05</v>
      </c>
      <c r="H91" s="13">
        <v>0.06</v>
      </c>
      <c r="I91" s="13">
        <v>7.0000000000000007E-2</v>
      </c>
      <c r="J91" s="13" t="str">
        <f>Table2[[#This Row],[ASHRAE FITTING '#]]&amp;".jpg"</f>
        <v>SD4-2.jpg</v>
      </c>
    </row>
    <row r="92" spans="1:10" x14ac:dyDescent="0.25">
      <c r="A92" t="s">
        <v>67</v>
      </c>
      <c r="B92" t="s">
        <v>75</v>
      </c>
      <c r="C92" t="s">
        <v>76</v>
      </c>
      <c r="D92" s="12">
        <v>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 t="str">
        <f>Table2[[#This Row],[ASHRAE FITTING '#]]&amp;".jpg"</f>
        <v>SD4-2.jpg</v>
      </c>
    </row>
    <row r="93" spans="1:10" x14ac:dyDescent="0.25">
      <c r="A93" t="s">
        <v>67</v>
      </c>
      <c r="B93" t="s">
        <v>75</v>
      </c>
      <c r="C93" t="s">
        <v>76</v>
      </c>
      <c r="D93" s="12">
        <v>2</v>
      </c>
      <c r="E93" s="13">
        <v>0</v>
      </c>
      <c r="F93" s="13">
        <v>0.87</v>
      </c>
      <c r="G93" s="13">
        <v>1.2</v>
      </c>
      <c r="H93" s="13">
        <v>1.3</v>
      </c>
      <c r="I93" s="13">
        <v>1.3</v>
      </c>
      <c r="J93" s="13" t="str">
        <f>Table2[[#This Row],[ASHRAE FITTING '#]]&amp;".jpg"</f>
        <v>SD4-2.jpg</v>
      </c>
    </row>
    <row r="94" spans="1:10" x14ac:dyDescent="0.25">
      <c r="A94" t="s">
        <v>67</v>
      </c>
      <c r="B94" t="s">
        <v>75</v>
      </c>
      <c r="C94" t="s">
        <v>76</v>
      </c>
      <c r="D94" s="12">
        <v>4</v>
      </c>
      <c r="E94" s="13">
        <v>0</v>
      </c>
      <c r="F94" s="13">
        <v>5.72</v>
      </c>
      <c r="G94" s="13">
        <v>8.32</v>
      </c>
      <c r="H94" s="13">
        <v>9.2799999999999994</v>
      </c>
      <c r="I94" s="13">
        <v>9.92</v>
      </c>
      <c r="J94" s="13" t="str">
        <f>Table2[[#This Row],[ASHRAE FITTING '#]]&amp;".jpg"</f>
        <v>SD4-2.jpg</v>
      </c>
    </row>
    <row r="95" spans="1:10" x14ac:dyDescent="0.25">
      <c r="A95" t="s">
        <v>67</v>
      </c>
      <c r="B95" t="s">
        <v>75</v>
      </c>
      <c r="C95" t="s">
        <v>76</v>
      </c>
      <c r="D95" s="12">
        <v>6</v>
      </c>
      <c r="E95" s="13">
        <v>0</v>
      </c>
      <c r="F95" s="13">
        <v>15.84</v>
      </c>
      <c r="G95" s="13">
        <v>22.5</v>
      </c>
      <c r="H95" s="13">
        <v>25.74</v>
      </c>
      <c r="I95" s="13">
        <v>27.9</v>
      </c>
      <c r="J95" s="13" t="str">
        <f>Table2[[#This Row],[ASHRAE FITTING '#]]&amp;".jpg"</f>
        <v>SD4-2.jpg</v>
      </c>
    </row>
    <row r="96" spans="1:10" x14ac:dyDescent="0.25">
      <c r="A96" t="s">
        <v>67</v>
      </c>
      <c r="B96" t="s">
        <v>75</v>
      </c>
      <c r="C96" t="s">
        <v>76</v>
      </c>
      <c r="D96" s="12">
        <v>10</v>
      </c>
      <c r="E96" s="13">
        <v>0</v>
      </c>
      <c r="F96" s="13">
        <v>45</v>
      </c>
      <c r="G96" s="13">
        <v>63.5</v>
      </c>
      <c r="H96" s="13">
        <v>75</v>
      </c>
      <c r="I96" s="13">
        <v>84</v>
      </c>
      <c r="J96" s="13" t="str">
        <f>Table2[[#This Row],[ASHRAE FITTING '#]]&amp;".jpg"</f>
        <v>SD4-2.jpg</v>
      </c>
    </row>
    <row r="97" spans="1:10" x14ac:dyDescent="0.25">
      <c r="A97" t="s">
        <v>67</v>
      </c>
      <c r="B97" t="s">
        <v>75</v>
      </c>
      <c r="C97" t="s">
        <v>76</v>
      </c>
      <c r="D97" s="12">
        <v>16</v>
      </c>
      <c r="E97" s="13">
        <v>0</v>
      </c>
      <c r="F97" s="13">
        <v>116.74</v>
      </c>
      <c r="G97" s="13">
        <v>164.1</v>
      </c>
      <c r="H97" s="13">
        <v>196.86</v>
      </c>
      <c r="I97" s="13">
        <v>224.26</v>
      </c>
      <c r="J97" s="13" t="str">
        <f>Table2[[#This Row],[ASHRAE FITTING '#]]&amp;".jpg"</f>
        <v>SD4-2.jpg</v>
      </c>
    </row>
  </sheetData>
  <sortState ref="A2:I97">
    <sortCondition ref="A2"/>
  </sortState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5"/>
  <sheetViews>
    <sheetView workbookViewId="0">
      <selection activeCell="B28" sqref="B28"/>
    </sheetView>
  </sheetViews>
  <sheetFormatPr defaultRowHeight="15" x14ac:dyDescent="0.25"/>
  <cols>
    <col min="1" max="1" width="21.7109375" bestFit="1" customWidth="1"/>
    <col min="2" max="2" width="19.28515625" bestFit="1" customWidth="1"/>
    <col min="3" max="3" width="18.28515625" bestFit="1" customWidth="1"/>
    <col min="4" max="4" width="15.85546875" bestFit="1" customWidth="1"/>
  </cols>
  <sheetData>
    <row r="1" spans="1:5" ht="23.25" x14ac:dyDescent="0.35">
      <c r="A1" s="33" t="s">
        <v>128</v>
      </c>
    </row>
    <row r="2" spans="1:5" x14ac:dyDescent="0.25">
      <c r="A2" s="22" t="s">
        <v>127</v>
      </c>
      <c r="B2" s="21" t="s">
        <v>126</v>
      </c>
    </row>
    <row r="3" spans="1:5" x14ac:dyDescent="0.25">
      <c r="A3" s="22" t="s">
        <v>125</v>
      </c>
      <c r="B3" s="32">
        <v>2015233</v>
      </c>
    </row>
    <row r="4" spans="1:5" x14ac:dyDescent="0.25">
      <c r="A4" s="22" t="s">
        <v>2</v>
      </c>
      <c r="B4" s="31">
        <f ca="1">TODAY()</f>
        <v>42430</v>
      </c>
    </row>
    <row r="5" spans="1:5" x14ac:dyDescent="0.25">
      <c r="A5" s="22" t="s">
        <v>124</v>
      </c>
      <c r="B5" s="21" t="s">
        <v>3</v>
      </c>
    </row>
    <row r="7" spans="1:5" ht="15.75" thickBot="1" x14ac:dyDescent="0.3">
      <c r="A7" s="27" t="s">
        <v>123</v>
      </c>
      <c r="B7" s="27" t="s">
        <v>122</v>
      </c>
    </row>
    <row r="8" spans="1:5" x14ac:dyDescent="0.25">
      <c r="A8" s="25">
        <v>10</v>
      </c>
      <c r="B8" s="25">
        <v>5000</v>
      </c>
    </row>
    <row r="9" spans="1:5" x14ac:dyDescent="0.25">
      <c r="A9" s="25">
        <v>15</v>
      </c>
      <c r="B9" s="25">
        <v>7500</v>
      </c>
    </row>
    <row r="10" spans="1:5" x14ac:dyDescent="0.25">
      <c r="A10" s="25">
        <v>20</v>
      </c>
      <c r="B10" s="25">
        <v>10000</v>
      </c>
    </row>
    <row r="12" spans="1:5" x14ac:dyDescent="0.25">
      <c r="A12" s="30" t="s">
        <v>121</v>
      </c>
      <c r="B12" s="29" t="s">
        <v>120</v>
      </c>
      <c r="C12" s="187" t="s">
        <v>119</v>
      </c>
      <c r="D12" s="187"/>
      <c r="E12" s="28"/>
    </row>
    <row r="13" spans="1:5" ht="15.75" thickBot="1" x14ac:dyDescent="0.3">
      <c r="A13" s="27" t="s">
        <v>118</v>
      </c>
      <c r="B13" s="27" t="s">
        <v>117</v>
      </c>
      <c r="C13" s="27" t="s">
        <v>116</v>
      </c>
      <c r="D13" s="27" t="s">
        <v>115</v>
      </c>
      <c r="E13" s="27" t="s">
        <v>114</v>
      </c>
    </row>
    <row r="14" spans="1:5" x14ac:dyDescent="0.25">
      <c r="A14" s="26">
        <f>0.5</f>
        <v>0.5</v>
      </c>
      <c r="B14" s="25">
        <v>1600</v>
      </c>
      <c r="C14" s="25">
        <v>4000</v>
      </c>
      <c r="D14" s="25">
        <v>23000</v>
      </c>
      <c r="E14" s="25">
        <v>284.5</v>
      </c>
    </row>
    <row r="15" spans="1:5" x14ac:dyDescent="0.25">
      <c r="A15" s="26">
        <f>1/4</f>
        <v>0.25</v>
      </c>
      <c r="B15" s="25">
        <v>1800</v>
      </c>
      <c r="C15" s="25">
        <v>5000</v>
      </c>
      <c r="D15" s="25">
        <v>3000</v>
      </c>
    </row>
    <row r="16" spans="1:5" x14ac:dyDescent="0.25">
      <c r="A16" s="26">
        <v>1</v>
      </c>
      <c r="B16" s="25">
        <v>2000</v>
      </c>
      <c r="C16" s="25">
        <v>6000</v>
      </c>
      <c r="D16" s="25">
        <v>4000</v>
      </c>
      <c r="E16" s="25">
        <v>144.5</v>
      </c>
    </row>
    <row r="17" spans="1:4" x14ac:dyDescent="0.25">
      <c r="A17" s="26">
        <f>1.25</f>
        <v>1.25</v>
      </c>
      <c r="B17" s="25">
        <v>2400</v>
      </c>
      <c r="C17" s="25">
        <v>7500</v>
      </c>
      <c r="D17" s="25">
        <v>4500</v>
      </c>
    </row>
    <row r="18" spans="1:4" x14ac:dyDescent="0.25">
      <c r="A18" s="26">
        <f>1.5</f>
        <v>1.5</v>
      </c>
      <c r="B18" s="25">
        <v>2600</v>
      </c>
      <c r="C18" s="25">
        <v>8500</v>
      </c>
      <c r="D18" s="25">
        <v>5500</v>
      </c>
    </row>
    <row r="19" spans="1:4" x14ac:dyDescent="0.25">
      <c r="A19" s="26">
        <v>2</v>
      </c>
      <c r="B19" s="25">
        <v>3000</v>
      </c>
      <c r="C19" s="25">
        <v>11000</v>
      </c>
      <c r="D19" s="25">
        <v>6500</v>
      </c>
    </row>
    <row r="20" spans="1:4" x14ac:dyDescent="0.25">
      <c r="A20" s="26">
        <f>2.5</f>
        <v>2.5</v>
      </c>
      <c r="B20" s="25">
        <v>3400</v>
      </c>
      <c r="C20" s="25">
        <v>12000</v>
      </c>
      <c r="D20" s="25">
        <v>8000</v>
      </c>
    </row>
    <row r="21" spans="1:4" x14ac:dyDescent="0.25">
      <c r="A21" s="26">
        <v>3</v>
      </c>
      <c r="B21" s="25">
        <v>4000</v>
      </c>
      <c r="C21" s="25">
        <v>15000</v>
      </c>
      <c r="D21" s="25">
        <v>9500</v>
      </c>
    </row>
    <row r="22" spans="1:4" x14ac:dyDescent="0.25">
      <c r="A22" s="26">
        <v>4</v>
      </c>
      <c r="B22" s="25">
        <v>4800</v>
      </c>
      <c r="C22" s="25">
        <v>19000</v>
      </c>
      <c r="D22" s="25">
        <v>12000</v>
      </c>
    </row>
    <row r="23" spans="1:4" x14ac:dyDescent="0.25">
      <c r="A23" s="26">
        <v>5</v>
      </c>
      <c r="B23" s="25">
        <v>5700</v>
      </c>
      <c r="C23" s="25">
        <v>22500</v>
      </c>
      <c r="D23" s="25"/>
    </row>
    <row r="24" spans="1:4" x14ac:dyDescent="0.25">
      <c r="A24" s="26">
        <v>6</v>
      </c>
      <c r="B24" s="25">
        <v>6600</v>
      </c>
      <c r="C24" s="25">
        <v>26000</v>
      </c>
      <c r="D24" s="25"/>
    </row>
    <row r="26" spans="1:4" ht="15.75" thickBot="1" x14ac:dyDescent="0.3">
      <c r="A26" s="24" t="s">
        <v>113</v>
      </c>
      <c r="B26" s="23"/>
    </row>
    <row r="27" spans="1:4" x14ac:dyDescent="0.25">
      <c r="A27" s="22" t="s">
        <v>112</v>
      </c>
      <c r="B27" s="6">
        <f>SUM(E14:E24)</f>
        <v>429</v>
      </c>
    </row>
    <row r="28" spans="1:4" x14ac:dyDescent="0.25">
      <c r="A28" s="22" t="s">
        <v>111</v>
      </c>
      <c r="B28" s="6">
        <f>0.9*5/100+0.1</f>
        <v>0.14500000000000002</v>
      </c>
    </row>
    <row r="29" spans="1:4" x14ac:dyDescent="0.25">
      <c r="A29" s="22" t="s">
        <v>110</v>
      </c>
      <c r="B29" s="6">
        <f>B27/100</f>
        <v>4.29</v>
      </c>
    </row>
    <row r="30" spans="1:4" x14ac:dyDescent="0.25">
      <c r="A30" s="22" t="s">
        <v>109</v>
      </c>
      <c r="B30" s="7">
        <f>SUM(B28:B29)*0.3</f>
        <v>1.3305</v>
      </c>
    </row>
    <row r="31" spans="1:4" x14ac:dyDescent="0.25">
      <c r="A31" s="22" t="s">
        <v>108</v>
      </c>
      <c r="B31" s="8">
        <f>B29+B30</f>
        <v>5.6204999999999998</v>
      </c>
    </row>
    <row r="32" spans="1:4" x14ac:dyDescent="0.25">
      <c r="A32" s="9"/>
      <c r="B32" s="6"/>
    </row>
    <row r="33" spans="1:2" x14ac:dyDescent="0.25">
      <c r="A33" s="22" t="s">
        <v>107</v>
      </c>
      <c r="B33" s="6">
        <v>10</v>
      </c>
    </row>
    <row r="34" spans="1:2" x14ac:dyDescent="0.25">
      <c r="A34" s="22" t="s">
        <v>106</v>
      </c>
      <c r="B34" s="6">
        <f>(D14*E14+D16*E16)/100</f>
        <v>71215</v>
      </c>
    </row>
    <row r="35" spans="1:2" x14ac:dyDescent="0.25">
      <c r="A35" s="22" t="s">
        <v>105</v>
      </c>
      <c r="B35" s="6">
        <f>B34/(B33*500)</f>
        <v>14.243</v>
      </c>
    </row>
  </sheetData>
  <mergeCells count="1">
    <mergeCell ref="C12:D1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7"/>
  <sheetViews>
    <sheetView workbookViewId="0">
      <selection activeCell="A4" sqref="A4"/>
    </sheetView>
  </sheetViews>
  <sheetFormatPr defaultRowHeight="15" x14ac:dyDescent="0.25"/>
  <cols>
    <col min="2" max="2" width="11.42578125" customWidth="1"/>
  </cols>
  <sheetData>
    <row r="3" spans="1:13" x14ac:dyDescent="0.25">
      <c r="A3" s="58" t="s">
        <v>145</v>
      </c>
      <c r="B3" s="58" t="s">
        <v>15</v>
      </c>
      <c r="C3" s="58" t="s">
        <v>38</v>
      </c>
      <c r="D3" s="58" t="s">
        <v>36</v>
      </c>
      <c r="E3" s="58" t="s">
        <v>142</v>
      </c>
      <c r="F3" s="58" t="s">
        <v>143</v>
      </c>
      <c r="G3" s="58" t="s">
        <v>144</v>
      </c>
      <c r="H3" s="58" t="s">
        <v>40</v>
      </c>
      <c r="I3" s="58" t="s">
        <v>0</v>
      </c>
      <c r="J3" s="58" t="s">
        <v>32</v>
      </c>
      <c r="K3" s="58" t="s">
        <v>31</v>
      </c>
      <c r="L3" s="58" t="s">
        <v>140</v>
      </c>
      <c r="M3" s="58" t="s">
        <v>141</v>
      </c>
    </row>
    <row r="4" spans="1:13" x14ac:dyDescent="0.25">
      <c r="A4" s="6">
        <v>100</v>
      </c>
      <c r="B4" s="6" t="s">
        <v>16</v>
      </c>
      <c r="C4" s="6">
        <v>8</v>
      </c>
      <c r="D4" s="6">
        <v>4</v>
      </c>
      <c r="E4" s="7">
        <f>1.3*(C4*D4)^0.625/(C4+D4)^0.25</f>
        <v>6.0934994637043873</v>
      </c>
      <c r="F4" s="7">
        <f>2*SQRT((144*A4/I4)/PI())</f>
        <v>6.3830764864229232</v>
      </c>
      <c r="G4" s="7">
        <f>IF(B4="Rectangular",C4*D4/144,PI()*(E4/24)^2)</f>
        <v>0.22222222222222221</v>
      </c>
      <c r="H4" s="6">
        <v>50</v>
      </c>
      <c r="I4" s="6">
        <f>A4/G4</f>
        <v>450</v>
      </c>
      <c r="J4" s="13">
        <f>0.075*((I4/1097)^2)</f>
        <v>1.2620397553948825E-2</v>
      </c>
      <c r="K4" s="6"/>
      <c r="L4" s="13">
        <f>(0.0000000039)*POWER(I4,2.43)*100/POWER(A4,0.61)</f>
        <v>6.5821991105447189E-2</v>
      </c>
      <c r="M4" s="13">
        <f>IF(H4=0,(J4*K4),(H4*L4/100))</f>
        <v>3.2910995552723595E-2</v>
      </c>
    </row>
    <row r="5" spans="1:13" x14ac:dyDescent="0.25">
      <c r="A5" s="6">
        <v>100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5">
      <c r="A6" s="6">
        <v>100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x14ac:dyDescent="0.25">
      <c r="A7" s="6">
        <v>100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</sheetData>
  <dataValidations count="1">
    <dataValidation type="list" allowBlank="1" showInputMessage="1" showErrorMessage="1" sqref="B4">
      <formula1>"Rectangular, Round"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2"/>
  <sheetViews>
    <sheetView workbookViewId="0">
      <selection activeCell="N34" sqref="N34"/>
    </sheetView>
  </sheetViews>
  <sheetFormatPr defaultRowHeight="15" x14ac:dyDescent="0.25"/>
  <sheetData>
    <row r="1" spans="1:23" x14ac:dyDescent="0.25">
      <c r="E1" t="s">
        <v>219</v>
      </c>
      <c r="N1" t="s">
        <v>223</v>
      </c>
    </row>
    <row r="2" spans="1:23" x14ac:dyDescent="0.25">
      <c r="E2" t="s">
        <v>216</v>
      </c>
      <c r="H2" t="s">
        <v>217</v>
      </c>
      <c r="K2" t="s">
        <v>218</v>
      </c>
      <c r="O2" t="s">
        <v>220</v>
      </c>
      <c r="Q2" t="s">
        <v>221</v>
      </c>
      <c r="S2" t="s">
        <v>222</v>
      </c>
    </row>
    <row r="3" spans="1:23" ht="16.5" thickBot="1" x14ac:dyDescent="0.3">
      <c r="A3" s="84" t="s">
        <v>215</v>
      </c>
      <c r="B3" s="85" t="s">
        <v>212</v>
      </c>
      <c r="C3" s="86" t="s">
        <v>213</v>
      </c>
      <c r="D3" s="87" t="s">
        <v>214</v>
      </c>
      <c r="E3" s="88" t="s">
        <v>211</v>
      </c>
      <c r="F3" s="86" t="s">
        <v>210</v>
      </c>
      <c r="G3" s="87" t="s">
        <v>105</v>
      </c>
      <c r="H3" s="88" t="s">
        <v>211</v>
      </c>
      <c r="I3" s="86" t="s">
        <v>210</v>
      </c>
      <c r="J3" s="87" t="s">
        <v>105</v>
      </c>
      <c r="K3" s="88" t="s">
        <v>211</v>
      </c>
      <c r="L3" s="86" t="s">
        <v>210</v>
      </c>
      <c r="M3" s="87" t="s">
        <v>105</v>
      </c>
      <c r="N3" s="84" t="s">
        <v>215</v>
      </c>
      <c r="O3" s="85" t="s">
        <v>212</v>
      </c>
      <c r="P3" s="87" t="s">
        <v>214</v>
      </c>
      <c r="Q3" s="85" t="s">
        <v>212</v>
      </c>
      <c r="R3" s="87" t="s">
        <v>214</v>
      </c>
      <c r="S3" s="85" t="s">
        <v>212</v>
      </c>
      <c r="T3" s="87" t="s">
        <v>214</v>
      </c>
      <c r="U3" s="86" t="s">
        <v>210</v>
      </c>
      <c r="V3" s="88" t="s">
        <v>211</v>
      </c>
      <c r="W3" s="87" t="s">
        <v>105</v>
      </c>
    </row>
    <row r="4" spans="1:23" ht="16.5" thickBot="1" x14ac:dyDescent="0.3">
      <c r="A4" s="150">
        <v>0.25</v>
      </c>
      <c r="B4" s="151"/>
      <c r="C4" s="152"/>
      <c r="D4" s="153"/>
      <c r="E4" s="154"/>
      <c r="F4" s="152"/>
      <c r="G4" s="155"/>
      <c r="H4" s="154"/>
      <c r="I4" s="152"/>
      <c r="J4" s="153"/>
      <c r="K4" s="154"/>
      <c r="L4" s="152"/>
      <c r="M4" s="153"/>
      <c r="N4" s="127">
        <v>0.25</v>
      </c>
      <c r="O4" s="128">
        <v>0.375</v>
      </c>
      <c r="P4" s="129">
        <v>0.30499999999999999</v>
      </c>
      <c r="Q4" s="130">
        <v>0.375</v>
      </c>
      <c r="R4" s="131">
        <v>0.315</v>
      </c>
      <c r="S4" s="128"/>
      <c r="T4" s="129"/>
      <c r="U4" s="130"/>
      <c r="V4" s="132"/>
      <c r="W4" s="133"/>
    </row>
    <row r="5" spans="1:23" ht="15.75" x14ac:dyDescent="0.25">
      <c r="A5" s="89">
        <v>0.375</v>
      </c>
      <c r="B5" s="90">
        <v>0.67500000000000004</v>
      </c>
      <c r="C5" s="91">
        <v>9.0999999999999998E-2</v>
      </c>
      <c r="D5" s="92">
        <v>0.49299999999999999</v>
      </c>
      <c r="E5" s="93">
        <v>3</v>
      </c>
      <c r="F5" s="94">
        <v>0.9</v>
      </c>
      <c r="G5" s="95">
        <v>0.5</v>
      </c>
      <c r="H5" s="96">
        <v>5</v>
      </c>
      <c r="I5" s="94">
        <v>1.7</v>
      </c>
      <c r="J5" s="97">
        <v>1</v>
      </c>
      <c r="K5" s="93">
        <v>7</v>
      </c>
      <c r="L5" s="94">
        <v>2.5</v>
      </c>
      <c r="M5" s="98">
        <v>1.5</v>
      </c>
      <c r="N5" s="134">
        <v>0.375</v>
      </c>
      <c r="O5" s="135">
        <v>0.5</v>
      </c>
      <c r="P5" s="136">
        <v>0.40200000000000002</v>
      </c>
      <c r="Q5" s="137">
        <v>0.5</v>
      </c>
      <c r="R5" s="138">
        <v>0.43</v>
      </c>
      <c r="S5" s="135">
        <v>0.5</v>
      </c>
      <c r="T5" s="136">
        <v>0.45</v>
      </c>
      <c r="U5" s="139">
        <v>1</v>
      </c>
      <c r="V5" s="140">
        <v>3</v>
      </c>
      <c r="W5" s="141">
        <v>0.5</v>
      </c>
    </row>
    <row r="6" spans="1:23" ht="15.75" x14ac:dyDescent="0.25">
      <c r="A6" s="99">
        <v>0.5</v>
      </c>
      <c r="B6" s="100">
        <v>0.84</v>
      </c>
      <c r="C6" s="101">
        <v>0.109</v>
      </c>
      <c r="D6" s="102">
        <v>0.622</v>
      </c>
      <c r="E6" s="103">
        <v>3</v>
      </c>
      <c r="F6" s="104">
        <v>1.6</v>
      </c>
      <c r="G6" s="105">
        <v>1.5</v>
      </c>
      <c r="H6" s="106">
        <v>5</v>
      </c>
      <c r="I6" s="104">
        <v>2.1</v>
      </c>
      <c r="J6" s="107">
        <v>2</v>
      </c>
      <c r="K6" s="103">
        <v>7</v>
      </c>
      <c r="L6" s="104">
        <v>2.6</v>
      </c>
      <c r="M6" s="108">
        <v>2.5</v>
      </c>
      <c r="N6" s="134">
        <v>0.5</v>
      </c>
      <c r="O6" s="135">
        <v>0.625</v>
      </c>
      <c r="P6" s="136">
        <v>0.52700000000000002</v>
      </c>
      <c r="Q6" s="137">
        <v>0.625</v>
      </c>
      <c r="R6" s="138">
        <v>0.54500000000000004</v>
      </c>
      <c r="S6" s="135">
        <v>0.625</v>
      </c>
      <c r="T6" s="136">
        <v>0.56899999999999995</v>
      </c>
      <c r="U6" s="139">
        <v>1.5</v>
      </c>
      <c r="V6" s="140">
        <v>3</v>
      </c>
      <c r="W6" s="141">
        <v>1</v>
      </c>
    </row>
    <row r="7" spans="1:23" ht="15.75" x14ac:dyDescent="0.25">
      <c r="A7" s="99">
        <v>0.75</v>
      </c>
      <c r="B7" s="100">
        <v>1.05</v>
      </c>
      <c r="C7" s="101">
        <v>0.113</v>
      </c>
      <c r="D7" s="102">
        <v>0.82399999999999995</v>
      </c>
      <c r="E7" s="103">
        <v>3</v>
      </c>
      <c r="F7" s="104">
        <v>2.1</v>
      </c>
      <c r="G7" s="105">
        <v>3.5</v>
      </c>
      <c r="H7" s="106">
        <v>5</v>
      </c>
      <c r="I7" s="104">
        <v>2.7</v>
      </c>
      <c r="J7" s="107">
        <v>4.5</v>
      </c>
      <c r="K7" s="103">
        <v>7</v>
      </c>
      <c r="L7" s="104">
        <v>3.3</v>
      </c>
      <c r="M7" s="108">
        <v>5.5</v>
      </c>
      <c r="N7" s="134">
        <v>0.75</v>
      </c>
      <c r="O7" s="135">
        <v>0.875</v>
      </c>
      <c r="P7" s="136">
        <v>0.745</v>
      </c>
      <c r="Q7" s="137">
        <v>0.875</v>
      </c>
      <c r="R7" s="138">
        <v>0.78500000000000003</v>
      </c>
      <c r="S7" s="135">
        <v>0.875</v>
      </c>
      <c r="T7" s="136">
        <v>0.81100000000000005</v>
      </c>
      <c r="U7" s="139">
        <v>2</v>
      </c>
      <c r="V7" s="140">
        <v>3</v>
      </c>
      <c r="W7" s="141">
        <v>3</v>
      </c>
    </row>
    <row r="8" spans="1:23" ht="15.75" x14ac:dyDescent="0.25">
      <c r="A8" s="99">
        <v>1</v>
      </c>
      <c r="B8" s="100">
        <v>1.3149999999999999</v>
      </c>
      <c r="C8" s="101">
        <v>0.13300000000000001</v>
      </c>
      <c r="D8" s="102">
        <v>1.0489999999999999</v>
      </c>
      <c r="E8" s="103">
        <v>3</v>
      </c>
      <c r="F8" s="104">
        <v>2.4</v>
      </c>
      <c r="G8" s="105">
        <v>6.5</v>
      </c>
      <c r="H8" s="106">
        <v>5</v>
      </c>
      <c r="I8" s="104">
        <v>3.2</v>
      </c>
      <c r="J8" s="107">
        <v>8.5</v>
      </c>
      <c r="K8" s="103">
        <v>7</v>
      </c>
      <c r="L8" s="104">
        <v>3.7</v>
      </c>
      <c r="M8" s="108">
        <v>10</v>
      </c>
      <c r="N8" s="134">
        <v>1</v>
      </c>
      <c r="O8" s="135">
        <v>1.125</v>
      </c>
      <c r="P8" s="136">
        <v>0.995</v>
      </c>
      <c r="Q8" s="137">
        <v>1.125</v>
      </c>
      <c r="R8" s="138">
        <v>1.0249999999999999</v>
      </c>
      <c r="S8" s="135">
        <v>1.125</v>
      </c>
      <c r="T8" s="136">
        <v>1.0549999999999999</v>
      </c>
      <c r="U8" s="139">
        <v>2.5</v>
      </c>
      <c r="V8" s="140">
        <v>3</v>
      </c>
      <c r="W8" s="141">
        <v>7</v>
      </c>
    </row>
    <row r="9" spans="1:23" ht="15.75" x14ac:dyDescent="0.25">
      <c r="A9" s="99">
        <v>1.25</v>
      </c>
      <c r="B9" s="100">
        <v>1.66</v>
      </c>
      <c r="C9" s="101">
        <v>0.14000000000000001</v>
      </c>
      <c r="D9" s="102">
        <v>1.38</v>
      </c>
      <c r="E9" s="103">
        <v>3</v>
      </c>
      <c r="F9" s="104">
        <v>2.6</v>
      </c>
      <c r="G9" s="105">
        <v>12</v>
      </c>
      <c r="H9" s="106">
        <v>5</v>
      </c>
      <c r="I9" s="104">
        <v>3.7</v>
      </c>
      <c r="J9" s="107">
        <v>17</v>
      </c>
      <c r="K9" s="103">
        <v>7</v>
      </c>
      <c r="L9" s="104">
        <v>4.5</v>
      </c>
      <c r="M9" s="108">
        <v>21</v>
      </c>
      <c r="N9" s="134">
        <v>1.25</v>
      </c>
      <c r="O9" s="135">
        <v>1.375</v>
      </c>
      <c r="P9" s="136">
        <v>1.2450000000000001</v>
      </c>
      <c r="Q9" s="137">
        <v>1.375</v>
      </c>
      <c r="R9" s="138">
        <v>1.2649999999999999</v>
      </c>
      <c r="S9" s="135">
        <v>1.375</v>
      </c>
      <c r="T9" s="136">
        <v>1.2909999999999999</v>
      </c>
      <c r="U9" s="139">
        <v>3</v>
      </c>
      <c r="V9" s="140">
        <v>3</v>
      </c>
      <c r="W9" s="141">
        <v>12</v>
      </c>
    </row>
    <row r="10" spans="1:23" ht="15.75" x14ac:dyDescent="0.25">
      <c r="A10" s="99">
        <v>1.5</v>
      </c>
      <c r="B10" s="100">
        <v>1.9</v>
      </c>
      <c r="C10" s="101">
        <v>0.14499999999999999</v>
      </c>
      <c r="D10" s="102">
        <v>1.61</v>
      </c>
      <c r="E10" s="103">
        <v>3</v>
      </c>
      <c r="F10" s="104">
        <v>3.2</v>
      </c>
      <c r="G10" s="105">
        <v>20</v>
      </c>
      <c r="H10" s="106">
        <v>5</v>
      </c>
      <c r="I10" s="104">
        <v>4.3</v>
      </c>
      <c r="J10" s="107">
        <v>27</v>
      </c>
      <c r="K10" s="103">
        <v>7</v>
      </c>
      <c r="L10" s="104">
        <v>5.0999999999999996</v>
      </c>
      <c r="M10" s="108">
        <v>32</v>
      </c>
      <c r="N10" s="134">
        <v>1.5</v>
      </c>
      <c r="O10" s="135">
        <v>1.625</v>
      </c>
      <c r="P10" s="136">
        <v>1.4810000000000001</v>
      </c>
      <c r="Q10" s="137">
        <v>1.625</v>
      </c>
      <c r="R10" s="138">
        <v>1.5049999999999999</v>
      </c>
      <c r="S10" s="135">
        <v>1.625</v>
      </c>
      <c r="T10" s="136">
        <v>1.5269999999999999</v>
      </c>
      <c r="U10" s="139">
        <v>3.5</v>
      </c>
      <c r="V10" s="140">
        <v>3</v>
      </c>
      <c r="W10" s="141">
        <v>17</v>
      </c>
    </row>
    <row r="11" spans="1:23" ht="15.75" x14ac:dyDescent="0.25">
      <c r="A11" s="99">
        <v>2</v>
      </c>
      <c r="B11" s="100">
        <v>2.375</v>
      </c>
      <c r="C11" s="101">
        <v>0.154</v>
      </c>
      <c r="D11" s="102">
        <v>2.0670000000000002</v>
      </c>
      <c r="E11" s="103">
        <v>3</v>
      </c>
      <c r="F11" s="104">
        <v>3.8</v>
      </c>
      <c r="G11" s="105">
        <v>40</v>
      </c>
      <c r="H11" s="106">
        <v>5</v>
      </c>
      <c r="I11" s="104">
        <v>4.8</v>
      </c>
      <c r="J11" s="107">
        <v>50</v>
      </c>
      <c r="K11" s="103">
        <v>7</v>
      </c>
      <c r="L11" s="104">
        <v>5.7</v>
      </c>
      <c r="M11" s="108">
        <v>60</v>
      </c>
      <c r="N11" s="134">
        <v>2</v>
      </c>
      <c r="O11" s="135">
        <v>2.125</v>
      </c>
      <c r="P11" s="136">
        <v>1.9590000000000001</v>
      </c>
      <c r="Q11" s="137">
        <v>2.125</v>
      </c>
      <c r="R11" s="138">
        <v>1.9850000000000001</v>
      </c>
      <c r="S11" s="135">
        <v>2.125</v>
      </c>
      <c r="T11" s="136">
        <v>2.0089999999999999</v>
      </c>
      <c r="U11" s="139">
        <v>4</v>
      </c>
      <c r="V11" s="140">
        <v>3</v>
      </c>
      <c r="W11" s="141">
        <v>35</v>
      </c>
    </row>
    <row r="12" spans="1:23" ht="15.75" x14ac:dyDescent="0.25">
      <c r="A12" s="99">
        <v>2.5</v>
      </c>
      <c r="B12" s="100">
        <v>2.875</v>
      </c>
      <c r="C12" s="101">
        <v>0.20300000000000001</v>
      </c>
      <c r="D12" s="102">
        <v>2.4689999999999999</v>
      </c>
      <c r="E12" s="103">
        <v>3</v>
      </c>
      <c r="F12" s="104">
        <v>4.3</v>
      </c>
      <c r="G12" s="105">
        <v>65</v>
      </c>
      <c r="H12" s="106">
        <v>5</v>
      </c>
      <c r="I12" s="104">
        <v>5.7</v>
      </c>
      <c r="J12" s="107">
        <v>85</v>
      </c>
      <c r="K12" s="103">
        <v>7</v>
      </c>
      <c r="L12" s="104">
        <v>6.5</v>
      </c>
      <c r="M12" s="108">
        <v>97</v>
      </c>
      <c r="N12" s="134">
        <v>2.5</v>
      </c>
      <c r="O12" s="135">
        <v>2.625</v>
      </c>
      <c r="P12" s="136">
        <v>2.4350000000000001</v>
      </c>
      <c r="Q12" s="137">
        <v>2.625</v>
      </c>
      <c r="R12" s="138">
        <v>2.4649999999999999</v>
      </c>
      <c r="S12" s="135">
        <v>2.625</v>
      </c>
      <c r="T12" s="136">
        <v>2.4950000000000001</v>
      </c>
      <c r="U12" s="139">
        <v>4.5</v>
      </c>
      <c r="V12" s="140">
        <v>3</v>
      </c>
      <c r="W12" s="141">
        <v>70</v>
      </c>
    </row>
    <row r="13" spans="1:23" ht="15.75" x14ac:dyDescent="0.25">
      <c r="A13" s="99">
        <v>3</v>
      </c>
      <c r="B13" s="100">
        <v>3.5</v>
      </c>
      <c r="C13" s="101">
        <v>0.216</v>
      </c>
      <c r="D13" s="102">
        <v>3.0680000000000001</v>
      </c>
      <c r="E13" s="103">
        <v>3</v>
      </c>
      <c r="F13" s="104">
        <v>4.8</v>
      </c>
      <c r="G13" s="105">
        <v>110</v>
      </c>
      <c r="H13" s="106">
        <v>5</v>
      </c>
      <c r="I13" s="104">
        <v>6.3</v>
      </c>
      <c r="J13" s="107">
        <v>145</v>
      </c>
      <c r="K13" s="103">
        <v>7</v>
      </c>
      <c r="L13" s="104">
        <v>7.6</v>
      </c>
      <c r="M13" s="108">
        <v>175</v>
      </c>
      <c r="N13" s="134">
        <v>3</v>
      </c>
      <c r="O13" s="135">
        <v>3.125</v>
      </c>
      <c r="P13" s="136">
        <v>2.907</v>
      </c>
      <c r="Q13" s="137">
        <v>3.125</v>
      </c>
      <c r="R13" s="138">
        <v>2.9449999999999998</v>
      </c>
      <c r="S13" s="135">
        <v>3.125</v>
      </c>
      <c r="T13" s="136">
        <v>2.9809999999999999</v>
      </c>
      <c r="U13" s="139">
        <v>5</v>
      </c>
      <c r="V13" s="140">
        <v>3</v>
      </c>
      <c r="W13" s="141">
        <v>110</v>
      </c>
    </row>
    <row r="14" spans="1:23" ht="15.75" x14ac:dyDescent="0.25">
      <c r="A14" s="99">
        <v>3.5</v>
      </c>
      <c r="B14" s="100">
        <v>4</v>
      </c>
      <c r="C14" s="101">
        <v>0.22600000000000001</v>
      </c>
      <c r="D14" s="102">
        <v>3.548</v>
      </c>
      <c r="E14" s="103">
        <v>3</v>
      </c>
      <c r="F14" s="104">
        <v>5.3</v>
      </c>
      <c r="G14" s="105">
        <v>160</v>
      </c>
      <c r="H14" s="106">
        <v>5</v>
      </c>
      <c r="I14" s="104">
        <v>7</v>
      </c>
      <c r="J14" s="107">
        <v>200</v>
      </c>
      <c r="K14" s="103">
        <v>7</v>
      </c>
      <c r="L14" s="104">
        <v>8.5</v>
      </c>
      <c r="M14" s="108">
        <v>250</v>
      </c>
      <c r="N14" s="134">
        <v>3.5</v>
      </c>
      <c r="O14" s="135">
        <v>3.625</v>
      </c>
      <c r="P14" s="136">
        <v>3.3849999999999998</v>
      </c>
      <c r="Q14" s="137">
        <v>3.625</v>
      </c>
      <c r="R14" s="138">
        <v>3.4249999999999998</v>
      </c>
      <c r="S14" s="135">
        <v>3.625</v>
      </c>
      <c r="T14" s="136">
        <v>3.4590000000000001</v>
      </c>
      <c r="U14" s="139">
        <v>5.5</v>
      </c>
      <c r="V14" s="140">
        <v>3</v>
      </c>
      <c r="W14" s="141">
        <v>160</v>
      </c>
    </row>
    <row r="15" spans="1:23" ht="15.75" x14ac:dyDescent="0.25">
      <c r="A15" s="99">
        <v>4</v>
      </c>
      <c r="B15" s="100">
        <v>4.5</v>
      </c>
      <c r="C15" s="101">
        <v>0.23699999999999999</v>
      </c>
      <c r="D15" s="102">
        <v>4.0259999999999998</v>
      </c>
      <c r="E15" s="103">
        <v>3</v>
      </c>
      <c r="F15" s="104">
        <v>5.8</v>
      </c>
      <c r="G15" s="105">
        <v>230</v>
      </c>
      <c r="H15" s="106">
        <v>5</v>
      </c>
      <c r="I15" s="104">
        <v>7.6</v>
      </c>
      <c r="J15" s="107">
        <v>300</v>
      </c>
      <c r="K15" s="103">
        <v>7</v>
      </c>
      <c r="L15" s="104">
        <v>8.8000000000000007</v>
      </c>
      <c r="M15" s="108">
        <v>350</v>
      </c>
      <c r="N15" s="134">
        <v>4</v>
      </c>
      <c r="O15" s="135">
        <v>4.125</v>
      </c>
      <c r="P15" s="136">
        <v>3.8570000000000002</v>
      </c>
      <c r="Q15" s="137">
        <v>4.125</v>
      </c>
      <c r="R15" s="138">
        <v>3.9049999999999998</v>
      </c>
      <c r="S15" s="135">
        <v>4.125</v>
      </c>
      <c r="T15" s="136">
        <v>3.9350000000000001</v>
      </c>
      <c r="U15" s="139">
        <v>6</v>
      </c>
      <c r="V15" s="140">
        <v>2.5</v>
      </c>
      <c r="W15" s="141">
        <v>225</v>
      </c>
    </row>
    <row r="16" spans="1:23" ht="15.75" x14ac:dyDescent="0.25">
      <c r="A16" s="99">
        <v>5</v>
      </c>
      <c r="B16" s="100">
        <v>5.5629999999999997</v>
      </c>
      <c r="C16" s="101">
        <v>0.25800000000000001</v>
      </c>
      <c r="D16" s="102">
        <v>5.0469999999999997</v>
      </c>
      <c r="E16" s="103">
        <v>3</v>
      </c>
      <c r="F16" s="104">
        <v>6.4</v>
      </c>
      <c r="G16" s="105">
        <v>400</v>
      </c>
      <c r="H16" s="106">
        <v>5</v>
      </c>
      <c r="I16" s="104">
        <v>8.3000000000000007</v>
      </c>
      <c r="J16" s="107">
        <v>520</v>
      </c>
      <c r="K16" s="103">
        <v>7</v>
      </c>
      <c r="L16" s="104">
        <v>10.3</v>
      </c>
      <c r="M16" s="108">
        <v>640</v>
      </c>
      <c r="N16" s="134">
        <v>5</v>
      </c>
      <c r="O16" s="135">
        <v>5.125</v>
      </c>
      <c r="P16" s="136">
        <v>4.8049999999999997</v>
      </c>
      <c r="Q16" s="137">
        <v>5.125</v>
      </c>
      <c r="R16" s="138">
        <v>4.875</v>
      </c>
      <c r="S16" s="135">
        <v>5.125</v>
      </c>
      <c r="T16" s="136">
        <v>4.907</v>
      </c>
      <c r="U16" s="139">
        <v>6.5</v>
      </c>
      <c r="V16" s="140">
        <v>2.5</v>
      </c>
      <c r="W16" s="141">
        <v>380</v>
      </c>
    </row>
    <row r="17" spans="1:23" ht="15.75" x14ac:dyDescent="0.25">
      <c r="A17" s="99">
        <v>6</v>
      </c>
      <c r="B17" s="100">
        <v>6.625</v>
      </c>
      <c r="C17" s="101">
        <v>0.28000000000000003</v>
      </c>
      <c r="D17" s="102">
        <v>6.0650000000000004</v>
      </c>
      <c r="E17" s="103">
        <v>3</v>
      </c>
      <c r="F17" s="104">
        <v>7.7</v>
      </c>
      <c r="G17" s="105">
        <v>690</v>
      </c>
      <c r="H17" s="106">
        <v>5</v>
      </c>
      <c r="I17" s="104">
        <v>10</v>
      </c>
      <c r="J17" s="107">
        <v>900</v>
      </c>
      <c r="K17" s="103">
        <v>7</v>
      </c>
      <c r="L17" s="104">
        <v>12.2</v>
      </c>
      <c r="M17" s="109">
        <v>1100</v>
      </c>
      <c r="N17" s="134">
        <v>6</v>
      </c>
      <c r="O17" s="135">
        <v>6.125</v>
      </c>
      <c r="P17" s="136">
        <v>5.7409999999999997</v>
      </c>
      <c r="Q17" s="137">
        <v>6.125</v>
      </c>
      <c r="R17" s="138">
        <v>5.8449999999999998</v>
      </c>
      <c r="S17" s="135">
        <v>6.125</v>
      </c>
      <c r="T17" s="136">
        <v>5.8810000000000002</v>
      </c>
      <c r="U17" s="139">
        <v>7</v>
      </c>
      <c r="V17" s="140">
        <v>2.2000000000000002</v>
      </c>
      <c r="W17" s="141">
        <v>575</v>
      </c>
    </row>
    <row r="18" spans="1:23" ht="15.75" x14ac:dyDescent="0.25">
      <c r="A18" s="99">
        <v>8</v>
      </c>
      <c r="B18" s="100">
        <v>8.625</v>
      </c>
      <c r="C18" s="101">
        <v>0.32200000000000001</v>
      </c>
      <c r="D18" s="102">
        <v>7.891</v>
      </c>
      <c r="E18" s="103">
        <v>3</v>
      </c>
      <c r="F18" s="104">
        <v>9</v>
      </c>
      <c r="G18" s="110">
        <v>1400</v>
      </c>
      <c r="H18" s="106">
        <v>5</v>
      </c>
      <c r="I18" s="104">
        <v>12</v>
      </c>
      <c r="J18" s="111">
        <v>1900</v>
      </c>
      <c r="K18" s="103">
        <v>7</v>
      </c>
      <c r="L18" s="104">
        <v>14.1</v>
      </c>
      <c r="M18" s="109">
        <v>2200</v>
      </c>
      <c r="N18" s="134">
        <v>8</v>
      </c>
      <c r="O18" s="135">
        <v>8.125</v>
      </c>
      <c r="P18" s="136">
        <v>7.5830000000000002</v>
      </c>
      <c r="Q18" s="137">
        <v>8.125</v>
      </c>
      <c r="R18" s="138">
        <v>7.7249999999999996</v>
      </c>
      <c r="S18" s="135">
        <v>8.125</v>
      </c>
      <c r="T18" s="136">
        <v>7.7850000000000001</v>
      </c>
      <c r="U18" s="139">
        <v>7.5</v>
      </c>
      <c r="V18" s="140">
        <v>1.9</v>
      </c>
      <c r="W18" s="141">
        <v>1105</v>
      </c>
    </row>
    <row r="19" spans="1:23" ht="15.75" x14ac:dyDescent="0.25">
      <c r="A19" s="99">
        <v>10</v>
      </c>
      <c r="B19" s="112">
        <v>10.75</v>
      </c>
      <c r="C19" s="101">
        <v>0.36499999999999999</v>
      </c>
      <c r="D19" s="113">
        <v>10.02</v>
      </c>
      <c r="E19" s="103">
        <v>2.7</v>
      </c>
      <c r="F19" s="104">
        <v>10</v>
      </c>
      <c r="G19" s="110">
        <v>2500</v>
      </c>
      <c r="H19" s="106">
        <v>3.8</v>
      </c>
      <c r="I19" s="104">
        <v>12</v>
      </c>
      <c r="J19" s="111">
        <v>3000</v>
      </c>
      <c r="K19" s="103">
        <v>5.8</v>
      </c>
      <c r="L19" s="104">
        <v>15</v>
      </c>
      <c r="M19" s="109">
        <v>3700</v>
      </c>
      <c r="N19" s="134">
        <v>10</v>
      </c>
      <c r="O19" s="135">
        <v>10.125</v>
      </c>
      <c r="P19" s="136">
        <v>9.4489999999999998</v>
      </c>
      <c r="Q19" s="137">
        <v>10.125</v>
      </c>
      <c r="R19" s="138">
        <v>9.625</v>
      </c>
      <c r="S19" s="135">
        <v>10.125</v>
      </c>
      <c r="T19" s="136">
        <v>9.7010000000000005</v>
      </c>
      <c r="U19" s="139">
        <v>8</v>
      </c>
      <c r="V19" s="140">
        <v>1.5</v>
      </c>
      <c r="W19" s="141">
        <v>1835</v>
      </c>
    </row>
    <row r="20" spans="1:23" ht="16.5" thickBot="1" x14ac:dyDescent="0.3">
      <c r="A20" s="99">
        <v>12</v>
      </c>
      <c r="B20" s="112">
        <v>12.75</v>
      </c>
      <c r="C20" s="101">
        <v>0.40600000000000003</v>
      </c>
      <c r="D20" s="113">
        <v>11.938000000000001</v>
      </c>
      <c r="E20" s="103">
        <v>2.1</v>
      </c>
      <c r="F20" s="104">
        <v>10</v>
      </c>
      <c r="G20" s="110">
        <v>3500</v>
      </c>
      <c r="H20" s="106">
        <v>3</v>
      </c>
      <c r="I20" s="104">
        <v>12</v>
      </c>
      <c r="J20" s="111">
        <v>4200</v>
      </c>
      <c r="K20" s="103">
        <v>4.5999999999999996</v>
      </c>
      <c r="L20" s="104">
        <v>15</v>
      </c>
      <c r="M20" s="109">
        <v>5200</v>
      </c>
      <c r="N20" s="142">
        <v>12</v>
      </c>
      <c r="O20" s="143">
        <v>12.125</v>
      </c>
      <c r="P20" s="144">
        <v>11.315</v>
      </c>
      <c r="Q20" s="145">
        <v>12.125</v>
      </c>
      <c r="R20" s="146">
        <v>11.565</v>
      </c>
      <c r="S20" s="143">
        <v>12.125</v>
      </c>
      <c r="T20" s="144">
        <v>11.617000000000001</v>
      </c>
      <c r="U20" s="147">
        <v>8.5</v>
      </c>
      <c r="V20" s="148">
        <v>1</v>
      </c>
      <c r="W20" s="149">
        <v>2800</v>
      </c>
    </row>
    <row r="21" spans="1:23" ht="15.75" x14ac:dyDescent="0.25">
      <c r="A21" s="99">
        <v>14</v>
      </c>
      <c r="B21" s="112">
        <v>14</v>
      </c>
      <c r="C21" s="101">
        <v>0.437</v>
      </c>
      <c r="D21" s="113">
        <v>13.125999999999999</v>
      </c>
      <c r="E21" s="103">
        <v>1.9</v>
      </c>
      <c r="F21" s="104">
        <v>10</v>
      </c>
      <c r="G21" s="110">
        <v>4200</v>
      </c>
      <c r="H21" s="106">
        <v>2.7</v>
      </c>
      <c r="I21" s="104">
        <v>12</v>
      </c>
      <c r="J21" s="111">
        <v>5100</v>
      </c>
      <c r="K21" s="103">
        <v>4.0999999999999996</v>
      </c>
      <c r="L21" s="104">
        <v>15</v>
      </c>
      <c r="M21" s="109">
        <v>6300</v>
      </c>
    </row>
    <row r="22" spans="1:23" ht="15.75" x14ac:dyDescent="0.25">
      <c r="A22" s="99">
        <v>16</v>
      </c>
      <c r="B22" s="112">
        <v>16</v>
      </c>
      <c r="C22" s="101">
        <v>0.5</v>
      </c>
      <c r="D22" s="113">
        <v>15</v>
      </c>
      <c r="E22" s="103">
        <v>1.7</v>
      </c>
      <c r="F22" s="104">
        <v>10</v>
      </c>
      <c r="G22" s="110">
        <v>5500</v>
      </c>
      <c r="H22" s="106">
        <v>2.2999999999999998</v>
      </c>
      <c r="I22" s="104">
        <v>12</v>
      </c>
      <c r="J22" s="111">
        <v>6600</v>
      </c>
      <c r="K22" s="103">
        <v>3.6</v>
      </c>
      <c r="L22" s="104">
        <v>15</v>
      </c>
      <c r="M22" s="109">
        <v>8300</v>
      </c>
    </row>
    <row r="23" spans="1:23" ht="15.75" x14ac:dyDescent="0.25">
      <c r="A23" s="99">
        <v>18</v>
      </c>
      <c r="B23" s="112">
        <v>18</v>
      </c>
      <c r="C23" s="101">
        <v>0.56200000000000006</v>
      </c>
      <c r="D23" s="113">
        <v>16.876000000000001</v>
      </c>
      <c r="E23" s="103">
        <v>1.5</v>
      </c>
      <c r="F23" s="104">
        <v>10</v>
      </c>
      <c r="G23" s="110">
        <v>7000</v>
      </c>
      <c r="H23" s="106">
        <v>2</v>
      </c>
      <c r="I23" s="104">
        <v>12</v>
      </c>
      <c r="J23" s="111">
        <v>8400</v>
      </c>
      <c r="K23" s="103">
        <v>3</v>
      </c>
      <c r="L23" s="104">
        <v>15</v>
      </c>
      <c r="M23" s="114">
        <v>10500</v>
      </c>
    </row>
    <row r="24" spans="1:23" ht="15.75" x14ac:dyDescent="0.25">
      <c r="A24" s="99">
        <v>20</v>
      </c>
      <c r="B24" s="112">
        <v>20</v>
      </c>
      <c r="C24" s="101">
        <v>0.59299999999999997</v>
      </c>
      <c r="D24" s="113">
        <v>18.814</v>
      </c>
      <c r="E24" s="103">
        <v>1.3</v>
      </c>
      <c r="F24" s="104">
        <v>10</v>
      </c>
      <c r="G24" s="110">
        <v>8900</v>
      </c>
      <c r="H24" s="106">
        <v>1.8</v>
      </c>
      <c r="I24" s="104">
        <v>12</v>
      </c>
      <c r="J24" s="115">
        <v>10400</v>
      </c>
      <c r="K24" s="103">
        <v>2.6</v>
      </c>
      <c r="L24" s="104">
        <v>15</v>
      </c>
      <c r="M24" s="114">
        <v>13000</v>
      </c>
    </row>
    <row r="25" spans="1:23" ht="15.75" x14ac:dyDescent="0.25">
      <c r="A25" s="99">
        <v>22</v>
      </c>
      <c r="B25" s="112">
        <v>22</v>
      </c>
      <c r="C25" s="101">
        <v>1.25</v>
      </c>
      <c r="D25" s="113">
        <v>20.75</v>
      </c>
      <c r="E25" s="103">
        <v>1.1000000000000001</v>
      </c>
      <c r="F25" s="104">
        <v>10</v>
      </c>
      <c r="G25" s="116">
        <v>10500</v>
      </c>
      <c r="H25" s="106">
        <v>1.6</v>
      </c>
      <c r="I25" s="104">
        <v>12</v>
      </c>
      <c r="J25" s="115">
        <v>12600</v>
      </c>
      <c r="K25" s="103">
        <v>2.4</v>
      </c>
      <c r="L25" s="104">
        <v>15</v>
      </c>
      <c r="M25" s="114">
        <v>15700</v>
      </c>
    </row>
    <row r="26" spans="1:23" ht="15.75" x14ac:dyDescent="0.25">
      <c r="A26" s="99">
        <v>24</v>
      </c>
      <c r="B26" s="112">
        <v>24</v>
      </c>
      <c r="C26" s="101">
        <v>1.36</v>
      </c>
      <c r="D26" s="113">
        <v>22.64</v>
      </c>
      <c r="E26" s="103">
        <v>1</v>
      </c>
      <c r="F26" s="104">
        <v>10</v>
      </c>
      <c r="G26" s="116">
        <v>12500</v>
      </c>
      <c r="H26" s="106">
        <v>1.4</v>
      </c>
      <c r="I26" s="104">
        <v>12</v>
      </c>
      <c r="J26" s="115">
        <v>15000</v>
      </c>
      <c r="K26" s="103">
        <v>2.2000000000000002</v>
      </c>
      <c r="L26" s="104">
        <v>15</v>
      </c>
      <c r="M26" s="114">
        <v>18700</v>
      </c>
    </row>
    <row r="27" spans="1:23" ht="15.75" x14ac:dyDescent="0.25">
      <c r="A27" s="99">
        <v>26</v>
      </c>
      <c r="B27" s="112">
        <v>26</v>
      </c>
      <c r="C27" s="101">
        <v>0.75</v>
      </c>
      <c r="D27" s="113">
        <v>25.25</v>
      </c>
      <c r="E27" s="103">
        <v>0.9</v>
      </c>
      <c r="F27" s="104">
        <v>10</v>
      </c>
      <c r="G27" s="116">
        <v>15500</v>
      </c>
      <c r="H27" s="106">
        <v>1.3</v>
      </c>
      <c r="I27" s="104">
        <v>12</v>
      </c>
      <c r="J27" s="115">
        <v>18600</v>
      </c>
      <c r="K27" s="103">
        <v>2.1</v>
      </c>
      <c r="L27" s="104">
        <v>15</v>
      </c>
      <c r="M27" s="114">
        <v>23300</v>
      </c>
    </row>
    <row r="28" spans="1:23" ht="15.75" x14ac:dyDescent="0.25">
      <c r="A28" s="99">
        <v>28</v>
      </c>
      <c r="B28" s="112">
        <v>28</v>
      </c>
      <c r="C28" s="101">
        <v>0.75</v>
      </c>
      <c r="D28" s="113">
        <v>27.25</v>
      </c>
      <c r="E28" s="103">
        <v>0.8</v>
      </c>
      <c r="F28" s="104">
        <v>10</v>
      </c>
      <c r="G28" s="116">
        <v>18100</v>
      </c>
      <c r="H28" s="106">
        <v>1.2</v>
      </c>
      <c r="I28" s="104">
        <v>12</v>
      </c>
      <c r="J28" s="115">
        <v>21700</v>
      </c>
      <c r="K28" s="103">
        <v>2</v>
      </c>
      <c r="L28" s="104">
        <v>15</v>
      </c>
      <c r="M28" s="114">
        <v>27100</v>
      </c>
    </row>
    <row r="29" spans="1:23" ht="15.75" x14ac:dyDescent="0.25">
      <c r="A29" s="99">
        <v>30</v>
      </c>
      <c r="B29" s="112">
        <v>30</v>
      </c>
      <c r="C29" s="101">
        <v>0.75</v>
      </c>
      <c r="D29" s="113">
        <v>29.25</v>
      </c>
      <c r="E29" s="103">
        <v>0.7</v>
      </c>
      <c r="F29" s="104">
        <v>10</v>
      </c>
      <c r="G29" s="116">
        <v>20800</v>
      </c>
      <c r="H29" s="106">
        <v>1.1000000000000001</v>
      </c>
      <c r="I29" s="104">
        <v>12</v>
      </c>
      <c r="J29" s="115">
        <v>25000</v>
      </c>
      <c r="K29" s="103">
        <v>1.9</v>
      </c>
      <c r="L29" s="104">
        <v>15</v>
      </c>
      <c r="M29" s="114">
        <v>31300</v>
      </c>
    </row>
    <row r="30" spans="1:23" ht="15.75" x14ac:dyDescent="0.25">
      <c r="A30" s="99">
        <v>32</v>
      </c>
      <c r="B30" s="112">
        <v>32</v>
      </c>
      <c r="C30" s="101">
        <v>0.75</v>
      </c>
      <c r="D30" s="113">
        <v>31.25</v>
      </c>
      <c r="E30" s="103">
        <v>0.6</v>
      </c>
      <c r="F30" s="104">
        <v>10</v>
      </c>
      <c r="G30" s="116">
        <v>23800</v>
      </c>
      <c r="H30" s="106">
        <v>1</v>
      </c>
      <c r="I30" s="104">
        <v>12</v>
      </c>
      <c r="J30" s="115">
        <v>28500</v>
      </c>
      <c r="K30" s="103">
        <v>1.8</v>
      </c>
      <c r="L30" s="104">
        <v>15</v>
      </c>
      <c r="M30" s="114">
        <v>35700</v>
      </c>
    </row>
    <row r="31" spans="1:23" ht="15.75" x14ac:dyDescent="0.25">
      <c r="A31" s="99">
        <v>34</v>
      </c>
      <c r="B31" s="112">
        <v>34</v>
      </c>
      <c r="C31" s="101">
        <v>0.75</v>
      </c>
      <c r="D31" s="113">
        <v>33.25</v>
      </c>
      <c r="E31" s="103">
        <v>0.5</v>
      </c>
      <c r="F31" s="104">
        <v>10</v>
      </c>
      <c r="G31" s="116">
        <v>26900</v>
      </c>
      <c r="H31" s="106">
        <v>0.9</v>
      </c>
      <c r="I31" s="104">
        <v>12</v>
      </c>
      <c r="J31" s="115">
        <v>32300</v>
      </c>
      <c r="K31" s="103">
        <v>1.7</v>
      </c>
      <c r="L31" s="104">
        <v>15</v>
      </c>
      <c r="M31" s="114">
        <v>40400</v>
      </c>
    </row>
    <row r="32" spans="1:23" ht="16.5" thickBot="1" x14ac:dyDescent="0.3">
      <c r="A32" s="117">
        <v>36</v>
      </c>
      <c r="B32" s="118">
        <v>36</v>
      </c>
      <c r="C32" s="119">
        <v>0.75</v>
      </c>
      <c r="D32" s="120">
        <v>35.25</v>
      </c>
      <c r="E32" s="121">
        <v>0.4</v>
      </c>
      <c r="F32" s="122">
        <v>10</v>
      </c>
      <c r="G32" s="123">
        <v>30300</v>
      </c>
      <c r="H32" s="124">
        <v>0.8</v>
      </c>
      <c r="I32" s="122">
        <v>12</v>
      </c>
      <c r="J32" s="125">
        <v>36300</v>
      </c>
      <c r="K32" s="121">
        <v>1.6</v>
      </c>
      <c r="L32" s="122">
        <v>15</v>
      </c>
      <c r="M32" s="126">
        <v>45400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1"/>
  <sheetViews>
    <sheetView workbookViewId="0">
      <selection activeCell="L19" sqref="L19"/>
    </sheetView>
  </sheetViews>
  <sheetFormatPr defaultRowHeight="15" x14ac:dyDescent="0.25"/>
  <cols>
    <col min="1" max="1" width="10.140625" customWidth="1"/>
    <col min="2" max="2" width="10" bestFit="1" customWidth="1"/>
    <col min="3" max="4" width="7.28515625" bestFit="1" customWidth="1"/>
    <col min="5" max="5" width="5" bestFit="1" customWidth="1"/>
    <col min="6" max="7" width="6.7109375" bestFit="1" customWidth="1"/>
    <col min="8" max="8" width="6.85546875" bestFit="1" customWidth="1"/>
    <col min="9" max="9" width="7.140625" bestFit="1" customWidth="1"/>
    <col min="10" max="10" width="6.7109375" bestFit="1" customWidth="1"/>
    <col min="11" max="11" width="9.7109375" bestFit="1" customWidth="1"/>
  </cols>
  <sheetData>
    <row r="1" spans="1:11" x14ac:dyDescent="0.25">
      <c r="A1" s="66" t="s">
        <v>182</v>
      </c>
      <c r="B1" s="59"/>
      <c r="C1" s="60"/>
      <c r="D1" s="59"/>
      <c r="E1" s="59"/>
      <c r="F1" s="59"/>
      <c r="G1" s="59"/>
    </row>
    <row r="2" spans="1:11" ht="30" x14ac:dyDescent="0.25">
      <c r="A2" s="61" t="s">
        <v>147</v>
      </c>
      <c r="B2" s="61" t="s">
        <v>148</v>
      </c>
      <c r="C2" s="61" t="s">
        <v>159</v>
      </c>
      <c r="D2" s="61" t="s">
        <v>160</v>
      </c>
      <c r="E2" s="61" t="s">
        <v>149</v>
      </c>
      <c r="F2" s="61" t="s">
        <v>150</v>
      </c>
      <c r="G2" s="61" t="s">
        <v>151</v>
      </c>
      <c r="H2" s="61" t="s">
        <v>152</v>
      </c>
      <c r="I2" s="61" t="s">
        <v>153</v>
      </c>
      <c r="J2" s="61" t="s">
        <v>162</v>
      </c>
      <c r="K2" s="61" t="s">
        <v>147</v>
      </c>
    </row>
    <row r="3" spans="1:11" x14ac:dyDescent="0.25">
      <c r="A3" s="74">
        <v>0.5</v>
      </c>
      <c r="B3" s="65">
        <v>0.622</v>
      </c>
      <c r="C3" s="65">
        <v>0.73</v>
      </c>
      <c r="D3" s="65">
        <v>1.55</v>
      </c>
      <c r="E3" s="65">
        <v>3.1</v>
      </c>
      <c r="F3" s="65">
        <v>0.36</v>
      </c>
      <c r="G3" s="65">
        <v>17.3</v>
      </c>
      <c r="H3" s="65">
        <v>8.65</v>
      </c>
      <c r="I3" s="65">
        <v>4.32</v>
      </c>
      <c r="J3" s="65">
        <v>0.75</v>
      </c>
      <c r="K3" s="74">
        <v>0.5</v>
      </c>
    </row>
    <row r="4" spans="1:11" x14ac:dyDescent="0.25">
      <c r="A4" s="74">
        <v>0.75</v>
      </c>
      <c r="B4" s="65">
        <v>0.82399999999999995</v>
      </c>
      <c r="C4" s="65">
        <v>0.96</v>
      </c>
      <c r="D4" s="65">
        <v>2.06</v>
      </c>
      <c r="E4" s="65">
        <v>4.12</v>
      </c>
      <c r="F4" s="65">
        <v>0.48</v>
      </c>
      <c r="G4" s="65">
        <v>22.9</v>
      </c>
      <c r="H4" s="65">
        <v>11.4</v>
      </c>
      <c r="I4" s="65">
        <v>5.72</v>
      </c>
      <c r="J4" s="65">
        <v>1.125</v>
      </c>
      <c r="K4" s="74">
        <v>0.75</v>
      </c>
    </row>
    <row r="5" spans="1:11" x14ac:dyDescent="0.25">
      <c r="A5" s="74">
        <v>1</v>
      </c>
      <c r="B5" s="65">
        <v>1.0489999999999999</v>
      </c>
      <c r="C5" s="65">
        <v>1.22</v>
      </c>
      <c r="D5" s="65">
        <v>2.62</v>
      </c>
      <c r="E5" s="65">
        <v>5.24</v>
      </c>
      <c r="F5" s="65">
        <v>0.61</v>
      </c>
      <c r="G5" s="65">
        <v>29.1</v>
      </c>
      <c r="H5" s="65">
        <v>14.6</v>
      </c>
      <c r="I5" s="65">
        <v>7.27</v>
      </c>
      <c r="J5" s="65">
        <v>1.5</v>
      </c>
      <c r="K5" s="74">
        <v>1</v>
      </c>
    </row>
    <row r="6" spans="1:11" x14ac:dyDescent="0.25">
      <c r="A6" s="74">
        <v>1.25</v>
      </c>
      <c r="B6" s="65">
        <v>1.38</v>
      </c>
      <c r="C6" s="65">
        <v>1.61</v>
      </c>
      <c r="D6" s="65">
        <v>3.45</v>
      </c>
      <c r="E6" s="65">
        <v>6.9</v>
      </c>
      <c r="F6" s="65">
        <v>0.81</v>
      </c>
      <c r="G6" s="65">
        <v>38.299999999999997</v>
      </c>
      <c r="H6" s="65">
        <v>19.100000000000001</v>
      </c>
      <c r="I6" s="65">
        <v>9.58</v>
      </c>
      <c r="J6" s="65">
        <v>1.875</v>
      </c>
      <c r="K6" s="74">
        <v>1.25</v>
      </c>
    </row>
    <row r="7" spans="1:11" x14ac:dyDescent="0.25">
      <c r="A7" s="74">
        <v>1.5</v>
      </c>
      <c r="B7" s="65">
        <v>1.61</v>
      </c>
      <c r="C7" s="65">
        <v>1.88</v>
      </c>
      <c r="D7" s="65">
        <v>4.0199999999999996</v>
      </c>
      <c r="E7" s="65">
        <v>8.0399999999999991</v>
      </c>
      <c r="F7" s="65">
        <v>0.94</v>
      </c>
      <c r="G7" s="65">
        <v>44.7</v>
      </c>
      <c r="H7" s="65">
        <v>22.4</v>
      </c>
      <c r="I7" s="65">
        <v>11.2</v>
      </c>
      <c r="J7" s="65">
        <v>2.25</v>
      </c>
      <c r="K7" s="74">
        <v>1.5</v>
      </c>
    </row>
    <row r="8" spans="1:11" x14ac:dyDescent="0.25">
      <c r="A8" s="74">
        <v>2</v>
      </c>
      <c r="B8" s="65">
        <v>2.0670000000000002</v>
      </c>
      <c r="C8" s="65">
        <v>2.41</v>
      </c>
      <c r="D8" s="65">
        <v>5.17</v>
      </c>
      <c r="E8" s="65">
        <v>10.3</v>
      </c>
      <c r="F8" s="65">
        <v>1.21</v>
      </c>
      <c r="G8" s="65">
        <v>57.4</v>
      </c>
      <c r="H8" s="65">
        <v>28.7</v>
      </c>
      <c r="I8" s="65">
        <v>14.4</v>
      </c>
      <c r="J8" s="65">
        <v>3</v>
      </c>
      <c r="K8" s="74">
        <v>2</v>
      </c>
    </row>
    <row r="9" spans="1:11" x14ac:dyDescent="0.25">
      <c r="A9" s="74">
        <v>2.5</v>
      </c>
      <c r="B9" s="65">
        <v>2.4689999999999999</v>
      </c>
      <c r="C9" s="65">
        <v>2.88</v>
      </c>
      <c r="D9" s="65">
        <v>6.16</v>
      </c>
      <c r="E9" s="65">
        <v>12.3</v>
      </c>
      <c r="F9" s="65">
        <v>1.44</v>
      </c>
      <c r="G9" s="65">
        <v>68.5</v>
      </c>
      <c r="H9" s="65">
        <v>34.299999999999997</v>
      </c>
      <c r="I9" s="65">
        <v>17.100000000000001</v>
      </c>
      <c r="J9" s="65">
        <v>3.75</v>
      </c>
      <c r="K9" s="74">
        <v>2.5</v>
      </c>
    </row>
    <row r="10" spans="1:11" x14ac:dyDescent="0.25">
      <c r="A10" s="74">
        <v>3</v>
      </c>
      <c r="B10" s="65">
        <v>3.0680000000000001</v>
      </c>
      <c r="C10" s="65">
        <v>3.58</v>
      </c>
      <c r="D10" s="65">
        <v>7.67</v>
      </c>
      <c r="E10" s="65">
        <v>15.3</v>
      </c>
      <c r="F10" s="65">
        <v>1.79</v>
      </c>
      <c r="G10" s="65">
        <v>85.2</v>
      </c>
      <c r="H10" s="65">
        <v>42.6</v>
      </c>
      <c r="I10" s="65">
        <v>21.3</v>
      </c>
      <c r="J10" s="65">
        <v>4.5</v>
      </c>
      <c r="K10" s="74">
        <v>3</v>
      </c>
    </row>
    <row r="11" spans="1:11" x14ac:dyDescent="0.25">
      <c r="A11" s="74">
        <v>4</v>
      </c>
      <c r="B11" s="65">
        <v>4.0259999999999998</v>
      </c>
      <c r="C11" s="65">
        <v>4.7</v>
      </c>
      <c r="D11" s="65">
        <v>10.1</v>
      </c>
      <c r="E11" s="65">
        <v>20.2</v>
      </c>
      <c r="F11" s="65">
        <v>2.35</v>
      </c>
      <c r="G11" s="65">
        <v>112</v>
      </c>
      <c r="H11" s="65">
        <v>56</v>
      </c>
      <c r="I11" s="65">
        <v>28</v>
      </c>
      <c r="J11" s="65">
        <v>6</v>
      </c>
      <c r="K11" s="74">
        <v>4</v>
      </c>
    </row>
    <row r="12" spans="1:11" x14ac:dyDescent="0.25">
      <c r="A12" s="74">
        <v>5</v>
      </c>
      <c r="B12" s="65">
        <v>5.0469999999999997</v>
      </c>
      <c r="C12" s="65">
        <v>5.88</v>
      </c>
      <c r="D12" s="65">
        <v>12.6</v>
      </c>
      <c r="E12" s="65">
        <v>25.2</v>
      </c>
      <c r="F12" s="65">
        <v>2.94</v>
      </c>
      <c r="G12" s="65">
        <v>140</v>
      </c>
      <c r="H12" s="65">
        <v>70</v>
      </c>
      <c r="I12" s="65">
        <v>35</v>
      </c>
      <c r="J12" s="65">
        <v>7.5</v>
      </c>
      <c r="K12" s="74">
        <v>5</v>
      </c>
    </row>
    <row r="13" spans="1:11" x14ac:dyDescent="0.25">
      <c r="A13" s="74">
        <v>6</v>
      </c>
      <c r="B13" s="65">
        <v>6.0650000000000004</v>
      </c>
      <c r="C13" s="65">
        <v>7.07</v>
      </c>
      <c r="D13" s="65">
        <v>15.2</v>
      </c>
      <c r="E13" s="65">
        <v>30.4</v>
      </c>
      <c r="F13" s="65">
        <v>3.54</v>
      </c>
      <c r="G13" s="65">
        <v>168</v>
      </c>
      <c r="H13" s="65">
        <v>84.1</v>
      </c>
      <c r="I13" s="65">
        <v>42.1</v>
      </c>
      <c r="J13" s="65">
        <v>9</v>
      </c>
      <c r="K13" s="74">
        <v>6</v>
      </c>
    </row>
    <row r="14" spans="1:11" x14ac:dyDescent="0.25">
      <c r="A14" s="74">
        <v>8</v>
      </c>
      <c r="B14" s="65">
        <v>7.9809999999999999</v>
      </c>
      <c r="C14" s="65">
        <v>9.31</v>
      </c>
      <c r="D14" s="65">
        <v>20</v>
      </c>
      <c r="E14" s="65">
        <v>40</v>
      </c>
      <c r="F14" s="65">
        <v>4.6500000000000004</v>
      </c>
      <c r="G14" s="65">
        <v>222</v>
      </c>
      <c r="H14" s="65">
        <v>111</v>
      </c>
      <c r="I14" s="65">
        <v>55.5</v>
      </c>
      <c r="J14" s="65">
        <v>12</v>
      </c>
      <c r="K14" s="74">
        <v>8</v>
      </c>
    </row>
    <row r="15" spans="1:11" x14ac:dyDescent="0.25">
      <c r="A15" s="74">
        <v>10</v>
      </c>
      <c r="B15" s="65">
        <v>10.02</v>
      </c>
      <c r="C15" s="65">
        <v>11.7</v>
      </c>
      <c r="D15" s="65">
        <v>25</v>
      </c>
      <c r="E15" s="65">
        <v>50</v>
      </c>
      <c r="F15" s="65">
        <v>5.85</v>
      </c>
      <c r="G15" s="65">
        <v>278</v>
      </c>
      <c r="H15" s="65">
        <v>139</v>
      </c>
      <c r="I15" s="65">
        <v>69.5</v>
      </c>
      <c r="J15" s="65">
        <v>15</v>
      </c>
      <c r="K15" s="74">
        <v>10</v>
      </c>
    </row>
    <row r="16" spans="1:11" x14ac:dyDescent="0.25">
      <c r="A16" s="74">
        <v>12</v>
      </c>
      <c r="B16" s="65">
        <v>11.94</v>
      </c>
      <c r="C16" s="65">
        <v>13.9</v>
      </c>
      <c r="D16" s="65">
        <v>29.8</v>
      </c>
      <c r="E16" s="65">
        <v>59.6</v>
      </c>
      <c r="F16" s="65">
        <v>6.96</v>
      </c>
      <c r="G16" s="65">
        <v>332</v>
      </c>
      <c r="H16" s="65">
        <v>166</v>
      </c>
      <c r="I16" s="65">
        <v>83</v>
      </c>
      <c r="J16" s="65">
        <v>18</v>
      </c>
      <c r="K16" s="74">
        <v>12</v>
      </c>
    </row>
    <row r="17" spans="1:11" x14ac:dyDescent="0.25">
      <c r="A17" s="74">
        <v>14</v>
      </c>
      <c r="B17" s="65">
        <v>13.13</v>
      </c>
      <c r="C17" s="65">
        <v>15.3</v>
      </c>
      <c r="D17" s="65">
        <v>32.799999999999997</v>
      </c>
      <c r="E17" s="65">
        <v>65.599999999999994</v>
      </c>
      <c r="F17" s="65">
        <v>7.65</v>
      </c>
      <c r="G17" s="65">
        <v>364</v>
      </c>
      <c r="H17" s="65">
        <v>182</v>
      </c>
      <c r="I17" s="65">
        <v>91</v>
      </c>
      <c r="J17" s="65">
        <v>21</v>
      </c>
      <c r="K17" s="74">
        <v>14</v>
      </c>
    </row>
    <row r="18" spans="1:11" x14ac:dyDescent="0.25">
      <c r="A18" s="74">
        <v>16</v>
      </c>
      <c r="B18" s="65">
        <v>15</v>
      </c>
      <c r="C18" s="65">
        <v>17.5</v>
      </c>
      <c r="D18" s="65">
        <v>37.5</v>
      </c>
      <c r="E18" s="65">
        <v>75</v>
      </c>
      <c r="F18" s="65">
        <v>8.75</v>
      </c>
      <c r="G18" s="65">
        <v>417</v>
      </c>
      <c r="H18" s="65">
        <v>208</v>
      </c>
      <c r="I18" s="65">
        <v>104</v>
      </c>
      <c r="J18" s="65">
        <v>24</v>
      </c>
      <c r="K18" s="74">
        <v>16</v>
      </c>
    </row>
    <row r="19" spans="1:11" x14ac:dyDescent="0.25">
      <c r="A19" s="74">
        <v>18</v>
      </c>
      <c r="B19" s="65">
        <v>16.88</v>
      </c>
      <c r="C19" s="65">
        <v>19.7</v>
      </c>
      <c r="D19" s="65">
        <v>42.1</v>
      </c>
      <c r="E19" s="65">
        <v>84.2</v>
      </c>
      <c r="F19" s="65">
        <v>9.85</v>
      </c>
      <c r="G19" s="65">
        <v>469</v>
      </c>
      <c r="H19" s="65">
        <v>234</v>
      </c>
      <c r="I19" s="65">
        <v>117</v>
      </c>
      <c r="J19" s="65">
        <v>27</v>
      </c>
      <c r="K19" s="74">
        <v>18</v>
      </c>
    </row>
    <row r="20" spans="1:11" x14ac:dyDescent="0.25">
      <c r="A20" s="74">
        <v>20</v>
      </c>
      <c r="B20" s="65">
        <v>18.809999999999999</v>
      </c>
      <c r="C20" s="65">
        <v>22</v>
      </c>
      <c r="D20" s="65">
        <v>47</v>
      </c>
      <c r="E20" s="65">
        <v>94</v>
      </c>
      <c r="F20" s="65">
        <v>11</v>
      </c>
      <c r="G20" s="65">
        <v>522</v>
      </c>
      <c r="H20" s="65">
        <v>261</v>
      </c>
      <c r="I20" s="65">
        <v>131</v>
      </c>
      <c r="J20" s="65">
        <v>30</v>
      </c>
      <c r="K20" s="74">
        <v>20</v>
      </c>
    </row>
    <row r="21" spans="1:11" x14ac:dyDescent="0.25">
      <c r="A21" s="74">
        <v>24</v>
      </c>
      <c r="B21" s="65">
        <v>22.63</v>
      </c>
      <c r="C21" s="65">
        <v>26.4</v>
      </c>
      <c r="D21" s="65">
        <v>56.6</v>
      </c>
      <c r="E21" s="65">
        <v>113</v>
      </c>
      <c r="F21" s="65">
        <v>13.2</v>
      </c>
      <c r="G21" s="65">
        <v>629</v>
      </c>
      <c r="H21" s="65">
        <v>314</v>
      </c>
      <c r="I21" s="65">
        <v>157</v>
      </c>
      <c r="J21" s="65">
        <v>36</v>
      </c>
      <c r="K21" s="74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40</vt:i4>
      </vt:variant>
    </vt:vector>
  </HeadingPairs>
  <TitlesOfParts>
    <vt:vector size="53" baseType="lpstr">
      <vt:lpstr>Project Information</vt:lpstr>
      <vt:lpstr>A.Ductilator</vt:lpstr>
      <vt:lpstr>B.Storm Drainilator</vt:lpstr>
      <vt:lpstr>DATA - RAINFALL</vt:lpstr>
      <vt:lpstr>C.Cooling</vt:lpstr>
      <vt:lpstr>BETA - Gas Pipilator</vt:lpstr>
      <vt:lpstr>DATA - CFHC</vt:lpstr>
      <vt:lpstr>BETA - Static Pressure</vt:lpstr>
      <vt:lpstr>DATA - Static Pressure</vt:lpstr>
      <vt:lpstr>BETA - PUMP - HW Recirc</vt:lpstr>
      <vt:lpstr>BETA - SP</vt:lpstr>
      <vt:lpstr>DATA - GPM</vt:lpstr>
      <vt:lpstr>DATA - EQLC</vt:lpstr>
      <vt:lpstr>BASIS</vt:lpstr>
      <vt:lpstr>CFHC_DATA</vt:lpstr>
      <vt:lpstr>CFHC_LENGTH</vt:lpstr>
      <vt:lpstr>CFHC_PIPE_SIZE</vt:lpstr>
      <vt:lpstr>DESIGN_FOR</vt:lpstr>
      <vt:lpstr>DUCT_TYPE</vt:lpstr>
      <vt:lpstr>EQLC_CHART</vt:lpstr>
      <vt:lpstr>EQLC_COLUMNS</vt:lpstr>
      <vt:lpstr>EQLC_FITTING</vt:lpstr>
      <vt:lpstr>EQLC_PIPE_SIZE</vt:lpstr>
      <vt:lpstr>'BETA - Static Pressure'!Extract</vt:lpstr>
      <vt:lpstr>FRICTION</vt:lpstr>
      <vt:lpstr>A.Ductilator!Print_Area</vt:lpstr>
      <vt:lpstr>RAINFALL_G1_DATA</vt:lpstr>
      <vt:lpstr>RAINFALL_G1_IPH</vt:lpstr>
      <vt:lpstr>RAINFALL_G1_PIPE_SIZE</vt:lpstr>
      <vt:lpstr>RAINFALL_G2_DATA</vt:lpstr>
      <vt:lpstr>RAINFALL_G2_IPH</vt:lpstr>
      <vt:lpstr>RAINFALL_G2_PIPE_SIZE</vt:lpstr>
      <vt:lpstr>RAINFALL_G3_DATA</vt:lpstr>
      <vt:lpstr>RAINFALL_G3_IPH</vt:lpstr>
      <vt:lpstr>RAINFALL_G3_PIPE_SIZE</vt:lpstr>
      <vt:lpstr>RAINFALL_G4_DATA</vt:lpstr>
      <vt:lpstr>RAINFALL_G4_IPH</vt:lpstr>
      <vt:lpstr>RAINFALL_G4_PIPE_SIZE</vt:lpstr>
      <vt:lpstr>RAINFALL_H1_DATA</vt:lpstr>
      <vt:lpstr>RAINFALL_H1_IPH</vt:lpstr>
      <vt:lpstr>RAINFALL_H1_PIPE_SIZE</vt:lpstr>
      <vt:lpstr>RAINFALL_H2_DATA</vt:lpstr>
      <vt:lpstr>RAINFALL_H2_IPH</vt:lpstr>
      <vt:lpstr>RAINFALL_H2_PIPE_SIZE</vt:lpstr>
      <vt:lpstr>RAINFALL_H4_DATA</vt:lpstr>
      <vt:lpstr>RAINFALL_H4_IPH</vt:lpstr>
      <vt:lpstr>RAINFALL_H4_PIPE_SIZE</vt:lpstr>
      <vt:lpstr>RAINFALL_V_DATA</vt:lpstr>
      <vt:lpstr>RAINFALL_V_IPH</vt:lpstr>
      <vt:lpstr>RAINFALL_V_PIPE_SIZE</vt:lpstr>
      <vt:lpstr>RESTORE</vt:lpstr>
      <vt:lpstr>SIZING</vt:lpstr>
      <vt:lpstr>VELOCITY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Robyn Robinson</cp:lastModifiedBy>
  <cp:lastPrinted>2016-02-08T20:32:36Z</cp:lastPrinted>
  <dcterms:created xsi:type="dcterms:W3CDTF">2006-09-16T00:00:00Z</dcterms:created>
  <dcterms:modified xsi:type="dcterms:W3CDTF">2016-03-01T22:52:34Z</dcterms:modified>
</cp:coreProperties>
</file>